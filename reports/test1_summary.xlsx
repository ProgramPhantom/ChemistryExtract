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1'!$F$21:$I$21</f>
            </numRef>
          </val>
        </ser>
        <ser>
          <idx val="1"/>
          <order val="1"/>
          <tx>
            <strRef>
              <f>'Table 1'!E22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1'!$F$22:$I$22</f>
            </numRef>
          </val>
        </ser>
        <ser>
          <idx val="2"/>
          <order val="2"/>
          <tx>
            <strRef>
              <f>'Table 1'!E23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1'!$F$23:$I$23</f>
            </numRef>
          </val>
        </ser>
        <ser>
          <idx val="3"/>
          <order val="3"/>
          <tx>
            <strRef>
              <f>'Table 1'!E24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1'!$F$24:$I$24</f>
            </numRef>
          </val>
        </ser>
        <ser>
          <idx val="4"/>
          <order val="4"/>
          <tx>
            <strRef>
              <f>'Table 1'!E25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1'!$F$25:$I$25</f>
            </numRef>
          </val>
        </ser>
        <ser>
          <idx val="5"/>
          <order val="5"/>
          <tx>
            <strRef>
              <f>'Table 1'!E26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1'!$F$26:$I$26</f>
            </numRef>
          </val>
        </ser>
        <ser>
          <idx val="6"/>
          <order val="6"/>
          <tx>
            <strRef>
              <f>'Table 1'!E27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1'!$F$27:$I$27</f>
            </numRef>
          </val>
        </ser>
        <ser>
          <idx val="7"/>
          <order val="7"/>
          <tx>
            <strRef>
              <f>'Table 1'!E28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1'!$F$28:$I$28</f>
            </numRef>
          </val>
        </ser>
        <ser>
          <idx val="8"/>
          <order val="8"/>
          <tx>
            <strRef>
              <f>'Table 1'!E29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1'!$F$29:$I$29</f>
            </numRef>
          </val>
        </ser>
        <ser>
          <idx val="9"/>
          <order val="9"/>
          <tx>
            <strRef>
              <f>'Table 1'!E30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1'!$F$30:$I$30</f>
            </numRef>
          </val>
        </ser>
        <ser>
          <idx val="10"/>
          <order val="10"/>
          <tx>
            <strRef>
              <f>'Table 1'!E31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1'!$F$31:$I$31</f>
            </numRef>
          </val>
        </ser>
        <ser>
          <idx val="11"/>
          <order val="11"/>
          <tx>
            <strRef>
              <f>'Table 1'!E32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1'!$F$32:$I$32</f>
            </numRef>
          </val>
        </ser>
        <ser>
          <idx val="12"/>
          <order val="12"/>
          <tx>
            <strRef>
              <f>'Table 1'!E33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1'!$F$33:$I$33</f>
            </numRef>
          </val>
        </ser>
        <ser>
          <idx val="13"/>
          <order val="13"/>
          <tx>
            <strRef>
              <f>'Table 1'!E34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1'!$F$34:$I$34</f>
            </numRef>
          </val>
        </ser>
        <ser>
          <idx val="14"/>
          <order val="14"/>
          <tx>
            <strRef>
              <f>'Table 1'!E35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1'!$F$35:$I$35</f>
            </numRef>
          </val>
        </ser>
        <ser>
          <idx val="15"/>
          <order val="15"/>
          <tx>
            <strRef>
              <f>'Table 1'!E36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1'!$F$36:$I$36</f>
            </numRef>
          </val>
        </ser>
        <ser>
          <idx val="16"/>
          <order val="16"/>
          <tx>
            <strRef>
              <f>'Table 1'!E37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1'!$F$21:$I$21</f>
            </numRef>
          </cat>
          <val>
            <numRef>
              <f>'Table 1'!$F$37:$I$37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0" customWidth="1" min="5" max="5"/>
    <col width="12" customWidth="1" min="6" max="6"/>
    <col width="26" customWidth="1" min="7" max="7"/>
    <col width="14" customWidth="1" min="8" max="8"/>
    <col width="12" customWidth="1" min="9" max="9"/>
  </cols>
  <sheetData>
    <row r="1">
      <c r="A1" s="1" t="inlineStr">
        <is>
          <t>test1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298.15 K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polystyrene (PS), poly(ethylene oxide) (PEO), poly(methyl methacrylate) (PMMA), THF-d8, CDCl3, C6D6, toluene-d8, acetone-d6, CD3OD, D2O, CD3CN, CD2Cl2, DMSO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Determination of Mark-Houwink parameters, Flory parameters, and constants of molar mass dependences via DOSY for PS, PEO, and PMMA in various solvents.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concentration: 1 mg · mL -1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Yes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4</v>
      </c>
      <c r="H21" s="11" t="n">
        <v>5</v>
      </c>
      <c r="I21" s="11" t="n">
        <v>6</v>
      </c>
    </row>
    <row r="22">
      <c r="A22" s="12" t="inlineStr">
        <is>
          <t>PS</t>
        </is>
      </c>
      <c r="B22" s="12" t="inlineStr">
        <is>
          <t>THF-d8</t>
        </is>
      </c>
      <c r="C22" s="13" t="n">
        <v>-7.655839673984551</v>
      </c>
      <c r="D22" s="13" t="n">
        <v>0.519361</v>
      </c>
      <c r="E22" s="14" t="inlineStr">
        <is>
          <t>PS in THF-d8</t>
        </is>
      </c>
      <c r="F22" s="15">
        <f>C22-D22*3</f>
        <v/>
      </c>
      <c r="G22" s="15">
        <f>C22-D22*4</f>
        <v/>
      </c>
      <c r="H22" s="15">
        <f>C22-D22*5</f>
        <v/>
      </c>
      <c r="I22" s="15">
        <f>C22-D22*6</f>
        <v/>
      </c>
    </row>
    <row r="23">
      <c r="A23" s="12" t="inlineStr">
        <is>
          <t>PS</t>
        </is>
      </c>
      <c r="B23" s="12" t="inlineStr">
        <is>
          <t>CDCl3</t>
        </is>
      </c>
      <c r="C23" s="13" t="n">
        <v>-7.630222150689829</v>
      </c>
      <c r="D23" s="13" t="n">
        <v>0.534677</v>
      </c>
      <c r="E23" s="14" t="inlineStr">
        <is>
          <t>PS in CDCl3</t>
        </is>
      </c>
      <c r="F23" s="15">
        <f>C23-D23*3</f>
        <v/>
      </c>
      <c r="G23" s="15">
        <f>C23-D23*4</f>
        <v/>
      </c>
      <c r="H23" s="15">
        <f>C23-D23*5</f>
        <v/>
      </c>
      <c r="I23" s="15">
        <f>C23-D23*6</f>
        <v/>
      </c>
    </row>
    <row r="24">
      <c r="A24" s="12" t="inlineStr">
        <is>
          <t>PS</t>
        </is>
      </c>
      <c r="B24" s="12" t="inlineStr">
        <is>
          <t>C6D6</t>
        </is>
      </c>
      <c r="C24" s="13" t="n">
        <v>-7.718505297869414</v>
      </c>
      <c r="D24" s="13" t="n">
        <v>0.5283</v>
      </c>
      <c r="E24" s="14" t="inlineStr">
        <is>
          <t>PS in C6D6</t>
        </is>
      </c>
      <c r="F24" s="15">
        <f>C24-D24*3</f>
        <v/>
      </c>
      <c r="G24" s="15">
        <f>C24-D24*4</f>
        <v/>
      </c>
      <c r="H24" s="15">
        <f>C24-D24*5</f>
        <v/>
      </c>
      <c r="I24" s="15">
        <f>C24-D24*6</f>
        <v/>
      </c>
    </row>
    <row r="25">
      <c r="A25" s="12" t="inlineStr">
        <is>
          <t>PS</t>
        </is>
      </c>
      <c r="B25" s="12" t="inlineStr">
        <is>
          <t>toluene-d8</t>
        </is>
      </c>
      <c r="C25" s="13" t="n">
        <v>-7.670077622607558</v>
      </c>
      <c r="D25" s="13" t="n">
        <v>0.531065</v>
      </c>
      <c r="E25" s="14" t="inlineStr">
        <is>
          <t>PS in toluene-d8</t>
        </is>
      </c>
      <c r="F25" s="15">
        <f>C25-D25*3</f>
        <v/>
      </c>
      <c r="G25" s="15">
        <f>C25-D25*4</f>
        <v/>
      </c>
      <c r="H25" s="15">
        <f>C25-D25*5</f>
        <v/>
      </c>
      <c r="I25" s="15">
        <f>C25-D25*6</f>
        <v/>
      </c>
    </row>
    <row r="26">
      <c r="A26" s="12" t="inlineStr">
        <is>
          <t>PS</t>
        </is>
      </c>
      <c r="B26" s="12" t="inlineStr">
        <is>
          <t>CD2Cl2</t>
        </is>
      </c>
      <c r="C26" s="13" t="n">
        <v>-7.56166654250548</v>
      </c>
      <c r="D26" s="13" t="n">
        <v>0.5214530000000001</v>
      </c>
      <c r="E26" s="14" t="inlineStr">
        <is>
          <t>PS in CD2Cl2</t>
        </is>
      </c>
      <c r="F26" s="15">
        <f>C26-D26*3</f>
        <v/>
      </c>
      <c r="G26" s="15">
        <f>C26-D26*4</f>
        <v/>
      </c>
      <c r="H26" s="15">
        <f>C26-D26*5</f>
        <v/>
      </c>
      <c r="I26" s="15">
        <f>C26-D26*6</f>
        <v/>
      </c>
    </row>
    <row r="27">
      <c r="A27" s="12" t="inlineStr">
        <is>
          <t>PS</t>
        </is>
      </c>
      <c r="B27" s="12" t="inlineStr">
        <is>
          <t>acetone-d6</t>
        </is>
      </c>
      <c r="C27" s="13" t="n">
        <v>-7.679147780168245</v>
      </c>
      <c r="D27" s="13" t="n">
        <v>0.452089</v>
      </c>
      <c r="E27" s="14" t="inlineStr">
        <is>
          <t>PS in acetone-d6</t>
        </is>
      </c>
      <c r="F27" s="15">
        <f>C27-D27*3</f>
        <v/>
      </c>
      <c r="G27" s="15">
        <f>C27-D27*4</f>
        <v/>
      </c>
      <c r="H27" s="15">
        <f>C27-D27*5</f>
        <v/>
      </c>
      <c r="I27" s="15">
        <f>C27-D27*6</f>
        <v/>
      </c>
    </row>
    <row r="28">
      <c r="A28" s="12" t="inlineStr">
        <is>
          <t>PEO</t>
        </is>
      </c>
      <c r="B28" s="12" t="inlineStr">
        <is>
          <t>CD3OD</t>
        </is>
      </c>
      <c r="C28" s="13" t="n">
        <v>-7.843617451027789</v>
      </c>
      <c r="D28" s="13" t="n">
        <v>0.504105</v>
      </c>
      <c r="E28" s="14" t="inlineStr">
        <is>
          <t>PEO in CD3OD</t>
        </is>
      </c>
      <c r="F28" s="15">
        <f>C28-D28*3</f>
        <v/>
      </c>
      <c r="G28" s="15">
        <f>C28-D28*4</f>
        <v/>
      </c>
      <c r="H28" s="15">
        <f>C28-D28*5</f>
        <v/>
      </c>
      <c r="I28" s="15">
        <f>C28-D28*6</f>
        <v/>
      </c>
    </row>
    <row r="29">
      <c r="A29" s="12" t="inlineStr">
        <is>
          <t>PEO</t>
        </is>
      </c>
      <c r="B29" s="12" t="inlineStr">
        <is>
          <t>D2O</t>
        </is>
      </c>
      <c r="C29" s="13" t="n">
        <v>-8.101177771017927</v>
      </c>
      <c r="D29" s="13" t="n">
        <v>0.512155</v>
      </c>
      <c r="E29" s="14" t="inlineStr">
        <is>
          <t>PEO in D2O</t>
        </is>
      </c>
      <c r="F29" s="15">
        <f>C29-D29*3</f>
        <v/>
      </c>
      <c r="G29" s="15">
        <f>C29-D29*4</f>
        <v/>
      </c>
      <c r="H29" s="15">
        <f>C29-D29*5</f>
        <v/>
      </c>
      <c r="I29" s="15">
        <f>C29-D29*6</f>
        <v/>
      </c>
    </row>
    <row r="30">
      <c r="A30" s="12" t="inlineStr">
        <is>
          <t>PEO</t>
        </is>
      </c>
      <c r="B30" s="12" t="inlineStr">
        <is>
          <t>THF-d8</t>
        </is>
      </c>
      <c r="C30" s="13" t="n">
        <v>-7.733838887780599</v>
      </c>
      <c r="D30" s="13" t="n">
        <v>0.513725</v>
      </c>
      <c r="E30" s="14" t="inlineStr">
        <is>
          <t>PEO in THF-d8</t>
        </is>
      </c>
      <c r="F30" s="15">
        <f>C30-D30*3</f>
        <v/>
      </c>
      <c r="G30" s="15">
        <f>C30-D30*4</f>
        <v/>
      </c>
      <c r="H30" s="15">
        <f>C30-D30*5</f>
        <v/>
      </c>
      <c r="I30" s="15">
        <f>C30-D30*6</f>
        <v/>
      </c>
    </row>
    <row r="31">
      <c r="A31" s="12" t="inlineStr">
        <is>
          <t>PEO</t>
        </is>
      </c>
      <c r="B31" s="12" t="inlineStr">
        <is>
          <t>CD3CN</t>
        </is>
      </c>
      <c r="C31" s="13" t="n">
        <v>-7.590203777049215</v>
      </c>
      <c r="D31" s="13" t="n">
        <v>0.515853</v>
      </c>
      <c r="E31" s="14" t="inlineStr">
        <is>
          <t>PEO in CD3CN</t>
        </is>
      </c>
      <c r="F31" s="15">
        <f>C31-D31*3</f>
        <v/>
      </c>
      <c r="G31" s="15">
        <f>C31-D31*4</f>
        <v/>
      </c>
      <c r="H31" s="15">
        <f>C31-D31*5</f>
        <v/>
      </c>
      <c r="I31" s="15">
        <f>C31-D31*6</f>
        <v/>
      </c>
    </row>
    <row r="32">
      <c r="A32" s="12" t="inlineStr">
        <is>
          <t>PEO</t>
        </is>
      </c>
      <c r="B32" s="12" t="inlineStr">
        <is>
          <t>acetone-d6</t>
        </is>
      </c>
      <c r="C32" s="13" t="n">
        <v>-7.673502333065918</v>
      </c>
      <c r="D32" s="13" t="n">
        <v>0.474477</v>
      </c>
      <c r="E32" s="14" t="inlineStr">
        <is>
          <t>PEO in acetone-d6</t>
        </is>
      </c>
      <c r="F32" s="15">
        <f>C32-D32*3</f>
        <v/>
      </c>
      <c r="G32" s="15">
        <f>C32-D32*4</f>
        <v/>
      </c>
      <c r="H32" s="15">
        <f>C32-D32*5</f>
        <v/>
      </c>
      <c r="I32" s="15">
        <f>C32-D32*6</f>
        <v/>
      </c>
    </row>
    <row r="33">
      <c r="A33" s="12" t="inlineStr">
        <is>
          <t>PMMA</t>
        </is>
      </c>
      <c r="B33" s="12" t="inlineStr">
        <is>
          <t>THF-d8</t>
        </is>
      </c>
      <c r="C33" s="13" t="n">
        <v>-7.61465473895388</v>
      </c>
      <c r="D33" s="13" t="n">
        <v>0.517608</v>
      </c>
      <c r="E33" s="14" t="inlineStr">
        <is>
          <t>PMMA in THF-d8</t>
        </is>
      </c>
      <c r="F33" s="15">
        <f>C33-D33*3</f>
        <v/>
      </c>
      <c r="G33" s="15">
        <f>C33-D33*4</f>
        <v/>
      </c>
      <c r="H33" s="15">
        <f>C33-D33*5</f>
        <v/>
      </c>
      <c r="I33" s="15">
        <f>C33-D33*6</f>
        <v/>
      </c>
    </row>
    <row r="34">
      <c r="A34" s="12" t="inlineStr">
        <is>
          <t>PMMA</t>
        </is>
      </c>
      <c r="B34" s="12" t="inlineStr">
        <is>
          <t>CDCl3</t>
        </is>
      </c>
      <c r="C34" s="13" t="n">
        <v>-7.579851091223765</v>
      </c>
      <c r="D34" s="13" t="n">
        <v>0.543219</v>
      </c>
      <c r="E34" s="14" t="inlineStr">
        <is>
          <t>PMMA in CDCl3</t>
        </is>
      </c>
      <c r="F34" s="15">
        <f>C34-D34*3</f>
        <v/>
      </c>
      <c r="G34" s="15">
        <f>C34-D34*4</f>
        <v/>
      </c>
      <c r="H34" s="15">
        <f>C34-D34*5</f>
        <v/>
      </c>
      <c r="I34" s="15">
        <f>C34-D34*6</f>
        <v/>
      </c>
    </row>
    <row r="35">
      <c r="A35" s="12" t="inlineStr">
        <is>
          <t>PMMA</t>
        </is>
      </c>
      <c r="B35" s="12" t="inlineStr">
        <is>
          <t>C6D6</t>
        </is>
      </c>
      <c r="C35" s="13" t="n">
        <v>-7.683956229316216</v>
      </c>
      <c r="D35" s="13" t="n">
        <v>0.530394</v>
      </c>
      <c r="E35" s="14" t="inlineStr">
        <is>
          <t>PMMA in C6D6</t>
        </is>
      </c>
      <c r="F35" s="15">
        <f>C35-D35*3</f>
        <v/>
      </c>
      <c r="G35" s="15">
        <f>C35-D35*4</f>
        <v/>
      </c>
      <c r="H35" s="15">
        <f>C35-D35*5</f>
        <v/>
      </c>
      <c r="I35" s="15">
        <f>C35-D35*6</f>
        <v/>
      </c>
    </row>
    <row r="36">
      <c r="A36" s="12" t="inlineStr">
        <is>
          <t>PMMA</t>
        </is>
      </c>
      <c r="B36" s="12" t="inlineStr">
        <is>
          <t>CD2Cl2</t>
        </is>
      </c>
      <c r="C36" s="13" t="n">
        <v>-7.48967889681907</v>
      </c>
      <c r="D36" s="13" t="n">
        <v>0.53678</v>
      </c>
      <c r="E36" s="14" t="inlineStr">
        <is>
          <t>PMMA in CD2Cl2</t>
        </is>
      </c>
      <c r="F36" s="15">
        <f>C36-D36*3</f>
        <v/>
      </c>
      <c r="G36" s="15">
        <f>C36-D36*4</f>
        <v/>
      </c>
      <c r="H36" s="15">
        <f>C36-D36*5</f>
        <v/>
      </c>
      <c r="I36" s="15">
        <f>C36-D36*6</f>
        <v/>
      </c>
    </row>
    <row r="37">
      <c r="A37" s="12" t="inlineStr">
        <is>
          <t>PMMA</t>
        </is>
      </c>
      <c r="B37" s="12" t="inlineStr">
        <is>
          <t>DMSO</t>
        </is>
      </c>
      <c r="C37" s="13" t="n">
        <v>-8.505773029599105</v>
      </c>
      <c r="D37" s="13" t="n">
        <v>0.444236</v>
      </c>
      <c r="E37" s="14" t="inlineStr">
        <is>
          <t>PMMA in DMSO</t>
        </is>
      </c>
      <c r="F37" s="15">
        <f>C37-D37*3</f>
        <v/>
      </c>
      <c r="G37" s="15">
        <f>C37-D37*4</f>
        <v/>
      </c>
      <c r="H37" s="15">
        <f>C37-D37*5</f>
        <v/>
      </c>
      <c r="I37" s="15">
        <f>C37-D37*6</f>
        <v/>
      </c>
    </row>
    <row r="38"/>
    <row r="39"/>
    <row r="40">
      <c r="A40" s="3" t="inlineStr">
        <is>
          <t>EXTRACTED TABLE DATA</t>
        </is>
      </c>
      <c r="B40" s="4" t="n"/>
      <c r="C40" s="4" t="n"/>
      <c r="D40" s="4" t="n"/>
      <c r="E40" s="4" t="n"/>
      <c r="F40" s="4" t="n"/>
      <c r="G40" s="4" t="n"/>
    </row>
    <row r="41">
      <c r="A41" s="9" t="inlineStr"/>
      <c r="B41" s="9" t="inlineStr">
        <is>
          <t>polymer</t>
        </is>
      </c>
      <c r="C41" s="9" t="inlineStr">
        <is>
          <t>solvent</t>
        </is>
      </c>
      <c r="D41" s="9" t="inlineStr">
        <is>
          <t>K [mL · g - 1 ]</t>
        </is>
      </c>
      <c r="E41" s="9" t="inlineStr">
        <is>
          <t>a</t>
        </is>
      </c>
      <c r="F41" s="9" t="inlineStr">
        <is>
          <t>b</t>
        </is>
      </c>
      <c r="G41" s="9" t="inlineStr">
        <is>
          <t>c · 10 - 8 [m 2 · s - 1</t>
        </is>
      </c>
      <c r="H41" s="9" t="inlineStr">
        <is>
          <t>η [mPa · s]</t>
        </is>
      </c>
    </row>
    <row r="42"/>
    <row r="43"/>
    <row r="44"/>
    <row r="45"/>
    <row r="46"/>
    <row r="47"/>
    <row r="48"/>
    <row r="49">
      <c r="A49" s="13" t="n">
        <v>0</v>
      </c>
      <c r="B49" s="12" t="inlineStr">
        <is>
          <t>PS</t>
        </is>
      </c>
      <c r="C49" s="12" t="inlineStr">
        <is>
          <t>THF-d8</t>
        </is>
      </c>
      <c r="D49" s="13" t="n">
        <v>0.0141</v>
      </c>
      <c r="E49" s="13" t="n">
        <v>0.7</v>
      </c>
      <c r="F49" s="13" t="n">
        <v>0.519361</v>
      </c>
      <c r="G49" s="13" t="n">
        <v>2.20882</v>
      </c>
      <c r="H49" s="13" t="n">
        <v>0.48</v>
      </c>
    </row>
    <row r="50"/>
    <row r="51"/>
    <row r="52"/>
    <row r="53"/>
    <row r="54"/>
    <row r="55"/>
    <row r="56"/>
    <row r="57">
      <c r="A57" s="13" t="n">
        <v>1</v>
      </c>
      <c r="B57" s="12" t="inlineStr"/>
      <c r="C57" s="12" t="inlineStr">
        <is>
          <t>CDCl 3</t>
        </is>
      </c>
      <c r="D57" s="13" t="n">
        <v>0.00732</v>
      </c>
      <c r="E57" s="13" t="n">
        <v>0.74596</v>
      </c>
      <c r="F57" s="13" t="n">
        <v>0.534677</v>
      </c>
      <c r="G57" s="13" t="n">
        <v>2.34303</v>
      </c>
      <c r="H57" s="13" t="n">
        <v>0.5629999999999999</v>
      </c>
    </row>
    <row r="58"/>
    <row r="59"/>
    <row r="60"/>
    <row r="61"/>
    <row r="62"/>
    <row r="63"/>
    <row r="64"/>
    <row r="65">
      <c r="A65" s="13" t="n">
        <v>2</v>
      </c>
      <c r="B65" s="12" t="inlineStr"/>
      <c r="C65" s="12" t="inlineStr">
        <is>
          <t>C 6 D 6</t>
        </is>
      </c>
      <c r="D65" s="13" t="n">
        <v>0.01077</v>
      </c>
      <c r="E65" s="13" t="n">
        <v>0.72682</v>
      </c>
      <c r="F65" s="13" t="n">
        <v>0.5283</v>
      </c>
      <c r="G65" s="13" t="n">
        <v>1.91203</v>
      </c>
      <c r="H65" s="13" t="n">
        <v>0.6067</v>
      </c>
    </row>
    <row r="66"/>
    <row r="67"/>
    <row r="68"/>
    <row r="69"/>
    <row r="70"/>
    <row r="71"/>
    <row r="72"/>
    <row r="73">
      <c r="A73" s="13" t="n">
        <v>3</v>
      </c>
      <c r="B73" s="12" t="inlineStr"/>
      <c r="C73" s="12" t="inlineStr">
        <is>
          <t>toluene- d 8</t>
        </is>
      </c>
      <c r="D73" s="13" t="n">
        <v>0.0098</v>
      </c>
      <c r="E73" s="13" t="n">
        <v>0.73512</v>
      </c>
      <c r="F73" s="13" t="n">
        <v>0.531065</v>
      </c>
      <c r="G73" s="13" t="n">
        <v>2.13758</v>
      </c>
      <c r="H73" s="13" t="n">
        <v>0.5600000000000001</v>
      </c>
    </row>
    <row r="74"/>
    <row r="75"/>
    <row r="76"/>
    <row r="77"/>
    <row r="78"/>
    <row r="79"/>
    <row r="80"/>
    <row r="81">
      <c r="A81" s="13" t="n">
        <v>4</v>
      </c>
      <c r="B81" s="12" t="inlineStr"/>
      <c r="C81" s="12" t="inlineStr">
        <is>
          <t>CD 2 Cl 2</t>
        </is>
      </c>
      <c r="D81" s="13" t="n">
        <v>0.01155</v>
      </c>
      <c r="E81" s="13" t="n">
        <v>0.70628</v>
      </c>
      <c r="F81" s="13" t="n">
        <v>0.5214530000000001</v>
      </c>
      <c r="G81" s="13" t="n">
        <v>2.74368</v>
      </c>
      <c r="H81" s="13" t="n">
        <v>0.413</v>
      </c>
    </row>
    <row r="82"/>
    <row r="83"/>
    <row r="84"/>
    <row r="85"/>
    <row r="86"/>
    <row r="87"/>
    <row r="88"/>
    <row r="89">
      <c r="A89" s="13" t="n">
        <v>5</v>
      </c>
      <c r="B89" s="12" t="inlineStr"/>
      <c r="C89" s="12" t="inlineStr">
        <is>
          <t>acetone- d 6</t>
        </is>
      </c>
      <c r="D89" s="13" t="n">
        <v>0.07135</v>
      </c>
      <c r="E89" s="13" t="n">
        <v>0.49819</v>
      </c>
      <c r="F89" s="13" t="n">
        <v>0.452089</v>
      </c>
      <c r="G89" s="13" t="n">
        <v>2.0934</v>
      </c>
      <c r="H89" s="13" t="n">
        <v>0.295</v>
      </c>
    </row>
    <row r="90"/>
    <row r="91"/>
    <row r="92"/>
    <row r="93"/>
    <row r="94"/>
    <row r="95"/>
    <row r="96"/>
    <row r="97">
      <c r="A97" s="13" t="n">
        <v>6</v>
      </c>
      <c r="B97" s="12" t="inlineStr">
        <is>
          <t>PEO</t>
        </is>
      </c>
      <c r="C97" s="12" t="inlineStr">
        <is>
          <t>CD 3 OD</t>
        </is>
      </c>
      <c r="D97" s="13" t="n">
        <v>0.03563</v>
      </c>
      <c r="E97" s="13" t="n">
        <v>0.65424</v>
      </c>
      <c r="F97" s="13" t="n">
        <v>0.504105</v>
      </c>
      <c r="G97" s="13" t="n">
        <v>1.43345</v>
      </c>
      <c r="H97" s="13" t="n">
        <v>0.543</v>
      </c>
    </row>
    <row r="98"/>
    <row r="99"/>
    <row r="100"/>
    <row r="101"/>
    <row r="102"/>
    <row r="103"/>
    <row r="104"/>
    <row r="105">
      <c r="A105" s="13" t="n">
        <v>7</v>
      </c>
      <c r="B105" s="12" t="inlineStr"/>
      <c r="C105" s="12" t="inlineStr">
        <is>
          <t>D 2 O</t>
        </is>
      </c>
      <c r="D105" s="13" t="n">
        <v>0.02554</v>
      </c>
      <c r="E105" s="13" t="n">
        <v>0.67839</v>
      </c>
      <c r="F105" s="13" t="n">
        <v>0.512155</v>
      </c>
      <c r="G105" s="13" t="n">
        <v>0.792177</v>
      </c>
      <c r="H105" s="13" t="n">
        <v>1.098</v>
      </c>
    </row>
    <row r="106"/>
    <row r="107"/>
    <row r="108"/>
    <row r="109"/>
    <row r="110"/>
    <row r="111"/>
    <row r="112"/>
    <row r="113">
      <c r="A113" s="13" t="n">
        <v>8</v>
      </c>
      <c r="B113" s="12" t="inlineStr"/>
      <c r="C113" s="12" t="inlineStr">
        <is>
          <t>THF- d 8</t>
        </is>
      </c>
      <c r="D113" s="13" t="n">
        <v>0.02417</v>
      </c>
      <c r="E113" s="13" t="n">
        <v>0.6831</v>
      </c>
      <c r="F113" s="13" t="n">
        <v>0.513725</v>
      </c>
      <c r="G113" s="13" t="n">
        <v>1.8457</v>
      </c>
      <c r="H113" s="13" t="n">
        <v>0.48</v>
      </c>
    </row>
    <row r="114"/>
    <row r="115"/>
    <row r="116"/>
    <row r="117"/>
    <row r="118"/>
    <row r="119"/>
    <row r="120"/>
    <row r="121">
      <c r="A121" s="13" t="n">
        <v>9</v>
      </c>
      <c r="B121" s="12" t="inlineStr"/>
      <c r="C121" s="12" t="inlineStr">
        <is>
          <t>CD 3 CN</t>
        </is>
      </c>
      <c r="D121" s="13" t="n">
        <v>0.02456</v>
      </c>
      <c r="E121" s="13" t="n">
        <v>0.68948</v>
      </c>
      <c r="F121" s="13" t="n">
        <v>0.515853</v>
      </c>
      <c r="G121" s="13" t="n">
        <v>2.56919</v>
      </c>
      <c r="H121" s="13" t="n">
        <v>0.343</v>
      </c>
    </row>
    <row r="122"/>
    <row r="123"/>
    <row r="124"/>
    <row r="125"/>
    <row r="126"/>
    <row r="127"/>
    <row r="128"/>
    <row r="129">
      <c r="A129" s="13" t="n">
        <v>10</v>
      </c>
      <c r="B129" s="12" t="inlineStr"/>
      <c r="C129" s="12" t="inlineStr">
        <is>
          <t>acetone- d 6</t>
        </is>
      </c>
      <c r="D129" s="13" t="n">
        <v>0.06862</v>
      </c>
      <c r="E129" s="13" t="n">
        <v>0.56535</v>
      </c>
      <c r="F129" s="13" t="n">
        <v>0.474477</v>
      </c>
      <c r="G129" s="13" t="n">
        <v>2.12079</v>
      </c>
      <c r="H129" s="13" t="n">
        <v>0.295</v>
      </c>
    </row>
    <row r="130"/>
    <row r="131"/>
    <row r="132"/>
    <row r="133"/>
    <row r="134"/>
    <row r="135"/>
    <row r="136"/>
    <row r="137">
      <c r="A137" s="13" t="n">
        <v>11</v>
      </c>
      <c r="B137" s="12" t="inlineStr">
        <is>
          <t>PMMA</t>
        </is>
      </c>
      <c r="C137" s="12" t="inlineStr">
        <is>
          <t>THF- d 8</t>
        </is>
      </c>
      <c r="D137" s="13" t="n">
        <v>0.01061</v>
      </c>
      <c r="E137" s="13" t="n">
        <v>0.69474</v>
      </c>
      <c r="F137" s="13" t="n">
        <v>0.517608</v>
      </c>
      <c r="G137" s="13" t="n">
        <v>2.42854</v>
      </c>
      <c r="H137" s="13" t="n">
        <v>0.48</v>
      </c>
    </row>
    <row r="138"/>
    <row r="139"/>
    <row r="140"/>
    <row r="141"/>
    <row r="142"/>
    <row r="143"/>
    <row r="144"/>
    <row r="145">
      <c r="A145" s="13" t="n">
        <v>12</v>
      </c>
      <c r="B145" s="12" t="inlineStr"/>
      <c r="C145" s="12" t="inlineStr">
        <is>
          <t>CDCl 3</t>
        </is>
      </c>
      <c r="D145" s="13" t="n">
        <v>0.00517</v>
      </c>
      <c r="E145" s="13" t="n">
        <v>0.77158</v>
      </c>
      <c r="F145" s="13" t="n">
        <v>0.543219</v>
      </c>
      <c r="G145" s="13" t="n">
        <v>2.63117</v>
      </c>
      <c r="H145" s="13" t="n">
        <v>0.5629999999999999</v>
      </c>
    </row>
    <row r="146"/>
    <row r="147"/>
    <row r="148"/>
    <row r="149"/>
    <row r="150"/>
    <row r="151"/>
    <row r="152"/>
    <row r="153">
      <c r="A153" s="13" t="n">
        <v>13</v>
      </c>
      <c r="B153" s="12" t="inlineStr"/>
      <c r="C153" s="12" t="inlineStr">
        <is>
          <t>C 6 D 6</t>
        </is>
      </c>
      <c r="D153" s="13" t="n">
        <v>0.00848</v>
      </c>
      <c r="E153" s="13" t="n">
        <v>0.7331</v>
      </c>
      <c r="F153" s="13" t="n">
        <v>0.530394</v>
      </c>
      <c r="G153" s="13" t="n">
        <v>2.07035</v>
      </c>
      <c r="H153" s="13" t="n">
        <v>0.6067</v>
      </c>
    </row>
    <row r="154"/>
    <row r="155"/>
    <row r="156"/>
    <row r="157"/>
    <row r="158"/>
    <row r="159"/>
    <row r="160"/>
    <row r="161">
      <c r="A161" s="13" t="n">
        <v>14</v>
      </c>
      <c r="B161" s="12" t="inlineStr"/>
      <c r="C161" s="12" t="inlineStr">
        <is>
          <t>CD 2 Cl 2</t>
        </is>
      </c>
      <c r="D161" s="13" t="n">
        <v>0.00702</v>
      </c>
      <c r="E161" s="13" t="n">
        <v>0.75226</v>
      </c>
      <c r="F161" s="13" t="n">
        <v>0.53678</v>
      </c>
      <c r="G161" s="13" t="n">
        <v>3.23833</v>
      </c>
      <c r="H161" s="13" t="n">
        <v>0.413</v>
      </c>
    </row>
    <row r="162"/>
    <row r="163"/>
    <row r="164"/>
    <row r="165"/>
    <row r="166"/>
    <row r="167"/>
    <row r="168"/>
    <row r="169">
      <c r="A169" s="13" t="n">
        <v>15</v>
      </c>
      <c r="B169" s="12" t="inlineStr"/>
      <c r="C169" s="12" t="inlineStr">
        <is>
          <t>DMSO</t>
        </is>
      </c>
      <c r="D169" s="13" t="n">
        <v>0.05265</v>
      </c>
      <c r="E169" s="13" t="n">
        <v>0.47463</v>
      </c>
      <c r="F169" s="13" t="n">
        <v>0.444236</v>
      </c>
      <c r="G169" s="13" t="n">
        <v>0.312052</v>
      </c>
      <c r="H169" s="13" t="n">
        <v>2.19</v>
      </c>
    </row>
  </sheetData>
  <mergeCells count="17">
    <mergeCell ref="A13:G13"/>
    <mergeCell ref="B16:G16"/>
    <mergeCell ref="B10:G10"/>
    <mergeCell ref="A40:G4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2026-07-13T14:49:18Z</dcterms:created>
  <dcterms:modified xmlns:dcterms="http://purl.org/dc/terms/" xmlns:xsi="http://www.w3.org/2001/XMLSchema-instance" xsi:type="dcterms:W3CDTF">2026-07-13T14:49:18Z</dcterms:modified>
</cp:coreProperties>
</file>