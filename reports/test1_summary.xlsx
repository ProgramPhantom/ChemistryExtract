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1F497D"/>
      <sz val="11"/>
    </font>
    <font>
      <name val="Segoe UI"/>
      <b val="1"/>
      <color rgb="00333333"/>
      <sz val="10"/>
    </font>
    <font>
      <name val="Segoe UI"/>
      <color rgb="00000000"/>
      <sz val="10"/>
    </font>
    <font>
      <name val="Segoe UI"/>
      <i val="1"/>
      <color rgb="00333333"/>
      <sz val="10"/>
    </font>
    <font>
      <name val="Segoe UI"/>
      <b val="1"/>
      <color rgb="00FFFFFF"/>
      <sz val="10"/>
    </font>
    <font>
      <name val="Segoe UI"/>
      <b val="1"/>
      <color rgb="007F7F7F"/>
      <sz val="9"/>
    </font>
    <font>
      <name val="Segoe UI"/>
      <i val="1"/>
      <color rgb="007F7F7F"/>
      <sz val="9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  <fill>
      <patternFill patternType="solid">
        <fgColor rgb="00366092"/>
        <bgColor rgb="00366092"/>
      </patternFill>
    </fill>
  </fills>
  <borders count="4">
    <border>
      <left/>
      <right/>
      <top/>
      <bottom/>
      <diagonal/>
    </border>
    <border>
      <bottom style="medium">
        <color rgb="001F497D"/>
      </bottom>
    </border>
    <border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1" pivotButton="0" quotePrefix="0" xfId="0"/>
    <xf numFmtId="0" fontId="0" fillId="3" borderId="1" pivotButton="0" quotePrefix="0" xfId="0"/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0" borderId="2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right" vertical="center"/>
    </xf>
    <xf numFmtId="0" fontId="4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right" vertical="center"/>
    </xf>
    <xf numFmtId="0" fontId="8" fillId="0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(log-log Plot)</a:t>
            </a:r>
          </a:p>
        </rich>
      </tx>
    </title>
    <plotArea>
      <lineChart>
        <grouping val="standard"/>
        <ser>
          <idx val="0"/>
          <order val="0"/>
          <tx>
            <strRef>
              <f>'Table 1'!E22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1'!$F$22:$G$22</f>
            </numRef>
          </val>
        </ser>
        <ser>
          <idx val="1"/>
          <order val="1"/>
          <tx>
            <strRef>
              <f>'Table 1'!E23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1'!$F$23:$G$23</f>
            </numRef>
          </val>
        </ser>
        <ser>
          <idx val="2"/>
          <order val="2"/>
          <tx>
            <strRef>
              <f>'Table 1'!E24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1'!$F$24:$G$24</f>
            </numRef>
          </val>
        </ser>
        <ser>
          <idx val="3"/>
          <order val="3"/>
          <tx>
            <strRef>
              <f>'Table 1'!E25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1'!$F$25:$G$25</f>
            </numRef>
          </val>
        </ser>
        <ser>
          <idx val="4"/>
          <order val="4"/>
          <tx>
            <strRef>
              <f>'Table 1'!E26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1'!$F$26:$G$26</f>
            </numRef>
          </val>
        </ser>
        <ser>
          <idx val="5"/>
          <order val="5"/>
          <tx>
            <strRef>
              <f>'Table 1'!E27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1'!$F$27:$G$27</f>
            </numRef>
          </val>
        </ser>
        <ser>
          <idx val="6"/>
          <order val="6"/>
          <tx>
            <strRef>
              <f>'Table 1'!E28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1'!$F$28:$G$28</f>
            </numRef>
          </val>
        </ser>
        <ser>
          <idx val="7"/>
          <order val="7"/>
          <tx>
            <strRef>
              <f>'Table 1'!E29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1'!$F$29:$G$29</f>
            </numRef>
          </val>
        </ser>
        <ser>
          <idx val="8"/>
          <order val="8"/>
          <tx>
            <strRef>
              <f>'Table 1'!E30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1'!$F$30:$G$30</f>
            </numRef>
          </val>
        </ser>
        <ser>
          <idx val="9"/>
          <order val="9"/>
          <tx>
            <strRef>
              <f>'Table 1'!E31</f>
            </strRef>
          </tx>
          <spPr>
            <a:ln xmlns:a="http://schemas.openxmlformats.org/drawingml/2006/main">
              <a:solidFill>
                <a:srgbClr val="B6570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1'!$F$31:$G$31</f>
            </numRef>
          </val>
        </ser>
        <ser>
          <idx val="10"/>
          <order val="10"/>
          <tx>
            <strRef>
              <f>'Table 1'!E32</f>
            </strRef>
          </tx>
          <spPr>
            <a:ln xmlns:a="http://schemas.openxmlformats.org/drawingml/2006/main">
              <a:solidFill>
                <a:srgbClr val="4F81B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1'!$F$32:$G$32</f>
            </numRef>
          </val>
        </ser>
        <ser>
          <idx val="11"/>
          <order val="11"/>
          <tx>
            <strRef>
              <f>'Table 1'!E33</f>
            </strRef>
          </tx>
          <spPr>
            <a:ln xmlns:a="http://schemas.openxmlformats.org/drawingml/2006/main">
              <a:solidFill>
                <a:srgbClr val="5F49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1'!$F$33:$G$33</f>
            </numRef>
          </val>
        </ser>
        <ser>
          <idx val="12"/>
          <order val="12"/>
          <tx>
            <strRef>
              <f>'Table 1'!E34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1'!$F$34:$G$34</f>
            </numRef>
          </val>
        </ser>
        <ser>
          <idx val="13"/>
          <order val="13"/>
          <tx>
            <strRef>
              <f>'Table 1'!E35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1'!$F$35:$G$35</f>
            </numRef>
          </val>
        </ser>
        <ser>
          <idx val="14"/>
          <order val="14"/>
          <tx>
            <strRef>
              <f>'Table 1'!E36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1'!$F$36:$G$36</f>
            </numRef>
          </val>
        </ser>
        <ser>
          <idx val="15"/>
          <order val="15"/>
          <tx>
            <strRef>
              <f>'Table 1'!E37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1'!$F$37:$G$37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-8.539999999999999"/>
          <min val="-11.67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5" customWidth="1" min="3" max="3"/>
    <col width="29" customWidth="1" min="4" max="4"/>
    <col width="20" customWidth="1" min="5" max="5"/>
    <col width="12" customWidth="1" min="6" max="6"/>
    <col width="26" customWidth="1" min="7" max="7"/>
    <col width="14" customWidth="1" min="8" max="8"/>
  </cols>
  <sheetData>
    <row r="1">
      <c r="A1" s="1" t="inlineStr">
        <is>
          <t>test1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/>
    <row r="4">
      <c r="A4" s="3" t="inlineStr">
        <is>
          <t>PAPER METADATA &amp; EXPERIMENTAL CONDITIONS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Authors</t>
        </is>
      </c>
      <c r="B5" s="6" t="inlineStr"/>
      <c r="C5" s="7" t="n"/>
      <c r="D5" s="7" t="n"/>
      <c r="E5" s="7" t="n"/>
      <c r="F5" s="7" t="n"/>
      <c r="G5" s="7" t="n"/>
    </row>
    <row r="6">
      <c r="A6" s="5" t="inlineStr">
        <is>
          <t>DOI</t>
        </is>
      </c>
      <c r="B6" s="6" t="inlineStr"/>
      <c r="C6" s="7" t="n"/>
      <c r="D6" s="7" t="n"/>
      <c r="E6" s="7" t="n"/>
      <c r="F6" s="7" t="n"/>
      <c r="G6" s="7" t="n"/>
    </row>
    <row r="7">
      <c r="A7" s="5" t="inlineStr">
        <is>
          <t>Temperature</t>
        </is>
      </c>
      <c r="B7" s="6" t="inlineStr">
        <is>
          <t>298.15 K</t>
        </is>
      </c>
      <c r="C7" s="7" t="n"/>
      <c r="D7" s="7" t="n"/>
      <c r="E7" s="7" t="n"/>
      <c r="F7" s="7" t="n"/>
      <c r="G7" s="7" t="n"/>
    </row>
    <row r="8">
      <c r="A8" s="5" t="inlineStr">
        <is>
          <t>Pressure</t>
        </is>
      </c>
      <c r="B8" s="6" t="inlineStr">
        <is>
          <t>Not applicable</t>
        </is>
      </c>
      <c r="C8" s="7" t="n"/>
      <c r="D8" s="7" t="n"/>
      <c r="E8" s="7" t="n"/>
      <c r="F8" s="7" t="n"/>
      <c r="G8" s="7" t="n"/>
    </row>
    <row r="9">
      <c r="A9" s="5" t="inlineStr">
        <is>
          <t>Chemicals</t>
        </is>
      </c>
      <c r="B9" s="6" t="inlineStr">
        <is>
          <t>polystyrene (PS), poly(ethylene oxide) (PEO), poly(methyl methacrylate) (PMMA), THF-d8, CDCl3, C6D6, toluene-d8, acetone-d6, CD3OD, D2O, CD3CN, CD2Cl2, DMSO</t>
        </is>
      </c>
      <c r="C9" s="7" t="n"/>
      <c r="D9" s="7" t="n"/>
      <c r="E9" s="7" t="n"/>
      <c r="F9" s="7" t="n"/>
      <c r="G9" s="7" t="n"/>
    </row>
    <row r="10" ht="45" customHeight="1">
      <c r="A10" s="5" t="inlineStr">
        <is>
          <t>Description</t>
        </is>
      </c>
      <c r="B10" s="8" t="inlineStr">
        <is>
          <t>Determination of Mark-Houwink parameters, Flory parameters, and constants of molar mass dependences via DOSY for PS, PEO, and PMMA in various solvents.</t>
        </is>
      </c>
      <c r="C10" s="7" t="n"/>
      <c r="D10" s="7" t="n"/>
      <c r="E10" s="7" t="n"/>
      <c r="F10" s="7" t="n"/>
      <c r="G10" s="7" t="n"/>
    </row>
    <row r="11">
      <c r="A11" s="5" t="inlineStr">
        <is>
          <t>Other Stats</t>
        </is>
      </c>
      <c r="B11" s="6" t="inlineStr">
        <is>
          <t>concentration: 1 mg · mL -1</t>
        </is>
      </c>
      <c r="C11" s="7" t="n"/>
      <c r="D11" s="7" t="n"/>
      <c r="E11" s="7" t="n"/>
      <c r="F11" s="7" t="n"/>
      <c r="G11" s="7" t="n"/>
    </row>
    <row r="12"/>
    <row r="13">
      <c r="A13" s="3" t="inlineStr">
        <is>
          <t>TABLE CATEGORISATION</t>
        </is>
      </c>
      <c r="B13" s="4" t="n"/>
      <c r="C13" s="4" t="n"/>
      <c r="D13" s="4" t="n"/>
      <c r="E13" s="4" t="n"/>
      <c r="F13" s="4" t="n"/>
      <c r="G13" s="4" t="n"/>
    </row>
    <row r="14">
      <c r="A14" s="5" t="inlineStr">
        <is>
          <t>Contains Scientific Data</t>
        </is>
      </c>
      <c r="B14" s="6" t="inlineStr">
        <is>
          <t>Yes</t>
        </is>
      </c>
      <c r="C14" s="7" t="n"/>
      <c r="D14" s="7" t="n"/>
      <c r="E14" s="7" t="n"/>
      <c r="F14" s="7" t="n"/>
      <c r="G14" s="7" t="n"/>
    </row>
    <row r="15">
      <c r="A15" s="5" t="inlineStr">
        <is>
          <t>Contains Raw Diffusion Data</t>
        </is>
      </c>
      <c r="B15" s="6" t="inlineStr">
        <is>
          <t>No</t>
        </is>
      </c>
      <c r="C15" s="7" t="n"/>
      <c r="D15" s="7" t="n"/>
      <c r="E15" s="7" t="n"/>
      <c r="F15" s="7" t="n"/>
      <c r="G15" s="7" t="n"/>
    </row>
    <row r="16">
      <c r="A16" s="5" t="inlineStr">
        <is>
          <t>Contains Mark-Houwink Parameters</t>
        </is>
      </c>
      <c r="B16" s="6" t="inlineStr">
        <is>
          <t>Yes</t>
        </is>
      </c>
      <c r="C16" s="7" t="n"/>
      <c r="D16" s="7" t="n"/>
      <c r="E16" s="7" t="n"/>
      <c r="F16" s="7" t="n"/>
      <c r="G16" s="7" t="n"/>
    </row>
    <row r="17">
      <c r="A17" s="5" t="inlineStr">
        <is>
          <t>Contains Flory Parameters</t>
        </is>
      </c>
      <c r="B17" s="6" t="inlineStr">
        <is>
          <t>Yes</t>
        </is>
      </c>
      <c r="C17" s="7" t="n"/>
      <c r="D17" s="7" t="n"/>
      <c r="E17" s="7" t="n"/>
      <c r="F17" s="7" t="n"/>
      <c r="G17" s="7" t="n"/>
    </row>
    <row r="18">
      <c r="A18" s="5" t="inlineStr">
        <is>
          <t>Contains Polymer Diffusion Coefficients</t>
        </is>
      </c>
      <c r="B18" s="6" t="inlineStr">
        <is>
          <t>Yes</t>
        </is>
      </c>
      <c r="C18" s="7" t="n"/>
      <c r="D18" s="7" t="n"/>
      <c r="E18" s="7" t="n"/>
      <c r="F18" s="7" t="n"/>
      <c r="G18" s="7" t="n"/>
    </row>
    <row r="19"/>
    <row r="20">
      <c r="A20" s="3" t="inlineStr">
        <is>
          <t>FLORY PARAMETERS (INTERPRETATION)</t>
        </is>
      </c>
      <c r="B20" s="4" t="n"/>
      <c r="C20" s="4" t="n"/>
      <c r="D20" s="4" t="n"/>
      <c r="E20" s="4" t="n"/>
      <c r="F20" s="4" t="n"/>
      <c r="G20" s="4" t="n"/>
    </row>
    <row r="21">
      <c r="A21" s="9" t="inlineStr">
        <is>
          <t>Polymer</t>
        </is>
      </c>
      <c r="B21" s="9" t="inlineStr">
        <is>
          <t>Solvent</t>
        </is>
      </c>
      <c r="C21" s="9" t="inlineStr">
        <is>
          <t>c_value (log Constant)</t>
        </is>
      </c>
      <c r="D21" s="9" t="inlineStr">
        <is>
          <t>v_value (Scaling Exponent)</t>
        </is>
      </c>
      <c r="E21" s="10" t="inlineStr">
        <is>
          <t>Series</t>
        </is>
      </c>
      <c r="F21" s="11" t="n">
        <v>3</v>
      </c>
      <c r="G21" s="11" t="n">
        <v>6</v>
      </c>
    </row>
    <row r="22">
      <c r="A22" s="12" t="inlineStr">
        <is>
          <t>PS</t>
        </is>
      </c>
      <c r="B22" s="12" t="inlineStr">
        <is>
          <t>THF-d8</t>
        </is>
      </c>
      <c r="C22" s="13" t="n">
        <v>-7.655839673984551</v>
      </c>
      <c r="D22" s="13" t="n">
        <v>0.519361</v>
      </c>
      <c r="E22" s="14" t="inlineStr">
        <is>
          <t>PS in THF-d8</t>
        </is>
      </c>
      <c r="F22" s="15">
        <f>C22-D22*3</f>
        <v/>
      </c>
      <c r="G22" s="15">
        <f>C22-D22*6</f>
        <v/>
      </c>
    </row>
    <row r="23">
      <c r="A23" s="12" t="inlineStr">
        <is>
          <t>PS</t>
        </is>
      </c>
      <c r="B23" s="12" t="inlineStr">
        <is>
          <t>CDCl3</t>
        </is>
      </c>
      <c r="C23" s="13" t="n">
        <v>-7.630222150689829</v>
      </c>
      <c r="D23" s="13" t="n">
        <v>0.534677</v>
      </c>
      <c r="E23" s="14" t="inlineStr">
        <is>
          <t>PS in CDCl3</t>
        </is>
      </c>
      <c r="F23" s="15">
        <f>C23-D23*3</f>
        <v/>
      </c>
      <c r="G23" s="15">
        <f>C23-D23*6</f>
        <v/>
      </c>
    </row>
    <row r="24">
      <c r="A24" s="12" t="inlineStr">
        <is>
          <t>PS</t>
        </is>
      </c>
      <c r="B24" s="12" t="inlineStr">
        <is>
          <t>C6D6</t>
        </is>
      </c>
      <c r="C24" s="13" t="n">
        <v>-7.718505297869414</v>
      </c>
      <c r="D24" s="13" t="n">
        <v>0.5283</v>
      </c>
      <c r="E24" s="14" t="inlineStr">
        <is>
          <t>PS in C6D6</t>
        </is>
      </c>
      <c r="F24" s="15">
        <f>C24-D24*3</f>
        <v/>
      </c>
      <c r="G24" s="15">
        <f>C24-D24*6</f>
        <v/>
      </c>
    </row>
    <row r="25">
      <c r="A25" s="12" t="inlineStr">
        <is>
          <t>PS</t>
        </is>
      </c>
      <c r="B25" s="12" t="inlineStr">
        <is>
          <t>toluene-d8</t>
        </is>
      </c>
      <c r="C25" s="13" t="n">
        <v>-7.670077622607558</v>
      </c>
      <c r="D25" s="13" t="n">
        <v>0.531065</v>
      </c>
      <c r="E25" s="14" t="inlineStr">
        <is>
          <t>PS in toluene-d8</t>
        </is>
      </c>
      <c r="F25" s="15">
        <f>C25-D25*3</f>
        <v/>
      </c>
      <c r="G25" s="15">
        <f>C25-D25*6</f>
        <v/>
      </c>
    </row>
    <row r="26">
      <c r="A26" s="12" t="inlineStr">
        <is>
          <t>PS</t>
        </is>
      </c>
      <c r="B26" s="12" t="inlineStr">
        <is>
          <t>CD2Cl2</t>
        </is>
      </c>
      <c r="C26" s="13" t="n">
        <v>-7.56166654250548</v>
      </c>
      <c r="D26" s="13" t="n">
        <v>0.5214530000000001</v>
      </c>
      <c r="E26" s="14" t="inlineStr">
        <is>
          <t>PS in CD2Cl2</t>
        </is>
      </c>
      <c r="F26" s="15">
        <f>C26-D26*3</f>
        <v/>
      </c>
      <c r="G26" s="15">
        <f>C26-D26*6</f>
        <v/>
      </c>
    </row>
    <row r="27">
      <c r="A27" s="12" t="inlineStr">
        <is>
          <t>PS</t>
        </is>
      </c>
      <c r="B27" s="12" t="inlineStr">
        <is>
          <t>acetone-d6</t>
        </is>
      </c>
      <c r="C27" s="13" t="n">
        <v>-7.679147780168245</v>
      </c>
      <c r="D27" s="13" t="n">
        <v>0.452089</v>
      </c>
      <c r="E27" s="14" t="inlineStr">
        <is>
          <t>PS in acetone-d6</t>
        </is>
      </c>
      <c r="F27" s="15">
        <f>C27-D27*3</f>
        <v/>
      </c>
      <c r="G27" s="15">
        <f>C27-D27*6</f>
        <v/>
      </c>
    </row>
    <row r="28">
      <c r="A28" s="12" t="inlineStr">
        <is>
          <t>PEO</t>
        </is>
      </c>
      <c r="B28" s="12" t="inlineStr">
        <is>
          <t>CD3OD</t>
        </is>
      </c>
      <c r="C28" s="13" t="n">
        <v>-7.843617451027789</v>
      </c>
      <c r="D28" s="13" t="n">
        <v>0.504105</v>
      </c>
      <c r="E28" s="14" t="inlineStr">
        <is>
          <t>PEO in CD3OD</t>
        </is>
      </c>
      <c r="F28" s="15">
        <f>C28-D28*3</f>
        <v/>
      </c>
      <c r="G28" s="15">
        <f>C28-D28*6</f>
        <v/>
      </c>
    </row>
    <row r="29">
      <c r="A29" s="12" t="inlineStr">
        <is>
          <t>PEO</t>
        </is>
      </c>
      <c r="B29" s="12" t="inlineStr">
        <is>
          <t>D2O</t>
        </is>
      </c>
      <c r="C29" s="13" t="n">
        <v>-8.101177771017927</v>
      </c>
      <c r="D29" s="13" t="n">
        <v>0.512155</v>
      </c>
      <c r="E29" s="14" t="inlineStr">
        <is>
          <t>PEO in D2O</t>
        </is>
      </c>
      <c r="F29" s="15">
        <f>C29-D29*3</f>
        <v/>
      </c>
      <c r="G29" s="15">
        <f>C29-D29*6</f>
        <v/>
      </c>
    </row>
    <row r="30">
      <c r="A30" s="12" t="inlineStr">
        <is>
          <t>PEO</t>
        </is>
      </c>
      <c r="B30" s="12" t="inlineStr">
        <is>
          <t>THF-d8</t>
        </is>
      </c>
      <c r="C30" s="13" t="n">
        <v>-7.733838887780599</v>
      </c>
      <c r="D30" s="13" t="n">
        <v>0.513725</v>
      </c>
      <c r="E30" s="14" t="inlineStr">
        <is>
          <t>PEO in THF-d8</t>
        </is>
      </c>
      <c r="F30" s="15">
        <f>C30-D30*3</f>
        <v/>
      </c>
      <c r="G30" s="15">
        <f>C30-D30*6</f>
        <v/>
      </c>
    </row>
    <row r="31">
      <c r="A31" s="12" t="inlineStr">
        <is>
          <t>PEO</t>
        </is>
      </c>
      <c r="B31" s="12" t="inlineStr">
        <is>
          <t>CD3CN</t>
        </is>
      </c>
      <c r="C31" s="13" t="n">
        <v>-7.590203777049215</v>
      </c>
      <c r="D31" s="13" t="n">
        <v>0.515853</v>
      </c>
      <c r="E31" s="14" t="inlineStr">
        <is>
          <t>PEO in CD3CN</t>
        </is>
      </c>
      <c r="F31" s="15">
        <f>C31-D31*3</f>
        <v/>
      </c>
      <c r="G31" s="15">
        <f>C31-D31*6</f>
        <v/>
      </c>
    </row>
    <row r="32">
      <c r="A32" s="12" t="inlineStr">
        <is>
          <t>PEO</t>
        </is>
      </c>
      <c r="B32" s="12" t="inlineStr">
        <is>
          <t>acetone-d6</t>
        </is>
      </c>
      <c r="C32" s="13" t="n">
        <v>-7.673502333065918</v>
      </c>
      <c r="D32" s="13" t="n">
        <v>0.474477</v>
      </c>
      <c r="E32" s="14" t="inlineStr">
        <is>
          <t>PEO in acetone-d6</t>
        </is>
      </c>
      <c r="F32" s="15">
        <f>C32-D32*3</f>
        <v/>
      </c>
      <c r="G32" s="15">
        <f>C32-D32*6</f>
        <v/>
      </c>
    </row>
    <row r="33">
      <c r="A33" s="12" t="inlineStr">
        <is>
          <t>PMMA</t>
        </is>
      </c>
      <c r="B33" s="12" t="inlineStr">
        <is>
          <t>THF-d8</t>
        </is>
      </c>
      <c r="C33" s="13" t="n">
        <v>-7.61465473895388</v>
      </c>
      <c r="D33" s="13" t="n">
        <v>0.517608</v>
      </c>
      <c r="E33" s="14" t="inlineStr">
        <is>
          <t>PMMA in THF-d8</t>
        </is>
      </c>
      <c r="F33" s="15">
        <f>C33-D33*3</f>
        <v/>
      </c>
      <c r="G33" s="15">
        <f>C33-D33*6</f>
        <v/>
      </c>
    </row>
    <row r="34">
      <c r="A34" s="12" t="inlineStr">
        <is>
          <t>PMMA</t>
        </is>
      </c>
      <c r="B34" s="12" t="inlineStr">
        <is>
          <t>CDCl3</t>
        </is>
      </c>
      <c r="C34" s="13" t="n">
        <v>-7.579851091223765</v>
      </c>
      <c r="D34" s="13" t="n">
        <v>0.543219</v>
      </c>
      <c r="E34" s="14" t="inlineStr">
        <is>
          <t>PMMA in CDCl3</t>
        </is>
      </c>
      <c r="F34" s="15">
        <f>C34-D34*3</f>
        <v/>
      </c>
      <c r="G34" s="15">
        <f>C34-D34*6</f>
        <v/>
      </c>
    </row>
    <row r="35">
      <c r="A35" s="12" t="inlineStr">
        <is>
          <t>PMMA</t>
        </is>
      </c>
      <c r="B35" s="12" t="inlineStr">
        <is>
          <t>C6D6</t>
        </is>
      </c>
      <c r="C35" s="13" t="n">
        <v>-7.683956229316216</v>
      </c>
      <c r="D35" s="13" t="n">
        <v>0.530394</v>
      </c>
      <c r="E35" s="14" t="inlineStr">
        <is>
          <t>PMMA in C6D6</t>
        </is>
      </c>
      <c r="F35" s="15">
        <f>C35-D35*3</f>
        <v/>
      </c>
      <c r="G35" s="15">
        <f>C35-D35*6</f>
        <v/>
      </c>
    </row>
    <row r="36">
      <c r="A36" s="12" t="inlineStr">
        <is>
          <t>PMMA</t>
        </is>
      </c>
      <c r="B36" s="12" t="inlineStr">
        <is>
          <t>CD2Cl2</t>
        </is>
      </c>
      <c r="C36" s="13" t="n">
        <v>-7.48967889681907</v>
      </c>
      <c r="D36" s="13" t="n">
        <v>0.53678</v>
      </c>
      <c r="E36" s="14" t="inlineStr">
        <is>
          <t>PMMA in CD2Cl2</t>
        </is>
      </c>
      <c r="F36" s="15">
        <f>C36-D36*3</f>
        <v/>
      </c>
      <c r="G36" s="15">
        <f>C36-D36*6</f>
        <v/>
      </c>
    </row>
    <row r="37">
      <c r="A37" s="12" t="inlineStr">
        <is>
          <t>PMMA</t>
        </is>
      </c>
      <c r="B37" s="12" t="inlineStr">
        <is>
          <t>DMSO</t>
        </is>
      </c>
      <c r="C37" s="13" t="n">
        <v>-8.505773029599105</v>
      </c>
      <c r="D37" s="13" t="n">
        <v>0.444236</v>
      </c>
      <c r="E37" s="14" t="inlineStr">
        <is>
          <t>PMMA in DMSO</t>
        </is>
      </c>
      <c r="F37" s="15">
        <f>C37-D37*3</f>
        <v/>
      </c>
      <c r="G37" s="15">
        <f>C37-D37*6</f>
        <v/>
      </c>
    </row>
    <row r="38"/>
    <row r="39"/>
    <row r="40">
      <c r="A40" s="3" t="inlineStr">
        <is>
          <t>EXTRACTED RAW TABLE DATA</t>
        </is>
      </c>
      <c r="B40" s="4" t="n"/>
      <c r="C40" s="4" t="n"/>
      <c r="D40" s="4" t="n"/>
      <c r="E40" s="4" t="n"/>
      <c r="F40" s="4" t="n"/>
      <c r="G40" s="4" t="n"/>
    </row>
    <row r="41">
      <c r="A41" s="9" t="inlineStr"/>
      <c r="B41" s="9" t="inlineStr">
        <is>
          <t>polymer</t>
        </is>
      </c>
      <c r="C41" s="9" t="inlineStr">
        <is>
          <t>solvent</t>
        </is>
      </c>
      <c r="D41" s="9" t="inlineStr">
        <is>
          <t>K [mL · g - 1 ]</t>
        </is>
      </c>
      <c r="E41" s="9" t="inlineStr">
        <is>
          <t>a</t>
        </is>
      </c>
      <c r="F41" s="9" t="inlineStr">
        <is>
          <t>b</t>
        </is>
      </c>
      <c r="G41" s="9" t="inlineStr">
        <is>
          <t>c · 10 - 8 [m 2 · s - 1</t>
        </is>
      </c>
      <c r="H41" s="9" t="inlineStr">
        <is>
          <t>η [mPa · s]</t>
        </is>
      </c>
    </row>
    <row r="42">
      <c r="A42" s="13" t="n">
        <v>0</v>
      </c>
      <c r="B42" s="12" t="inlineStr">
        <is>
          <t>PS</t>
        </is>
      </c>
      <c r="C42" s="12" t="inlineStr">
        <is>
          <t>THF-d8</t>
        </is>
      </c>
      <c r="D42" s="13" t="n">
        <v>0.0141</v>
      </c>
      <c r="E42" s="13" t="n">
        <v>0.7</v>
      </c>
      <c r="F42" s="13" t="n">
        <v>0.519361</v>
      </c>
      <c r="G42" s="13" t="n">
        <v>2.20882</v>
      </c>
      <c r="H42" s="13" t="n">
        <v>0.48</v>
      </c>
    </row>
    <row r="43">
      <c r="A43" s="13" t="n">
        <v>1</v>
      </c>
      <c r="B43" s="12" t="inlineStr"/>
      <c r="C43" s="12" t="inlineStr">
        <is>
          <t>CDCl 3</t>
        </is>
      </c>
      <c r="D43" s="13" t="n">
        <v>0.00732</v>
      </c>
      <c r="E43" s="13" t="n">
        <v>0.74596</v>
      </c>
      <c r="F43" s="13" t="n">
        <v>0.534677</v>
      </c>
      <c r="G43" s="13" t="n">
        <v>2.34303</v>
      </c>
      <c r="H43" s="13" t="n">
        <v>0.5629999999999999</v>
      </c>
    </row>
    <row r="44">
      <c r="A44" s="13" t="n">
        <v>2</v>
      </c>
      <c r="B44" s="12" t="inlineStr"/>
      <c r="C44" s="12" t="inlineStr">
        <is>
          <t>C 6 D 6</t>
        </is>
      </c>
      <c r="D44" s="13" t="n">
        <v>0.01077</v>
      </c>
      <c r="E44" s="13" t="n">
        <v>0.72682</v>
      </c>
      <c r="F44" s="13" t="n">
        <v>0.5283</v>
      </c>
      <c r="G44" s="13" t="n">
        <v>1.91203</v>
      </c>
      <c r="H44" s="13" t="n">
        <v>0.6067</v>
      </c>
    </row>
    <row r="45">
      <c r="A45" s="13" t="n">
        <v>3</v>
      </c>
      <c r="B45" s="12" t="inlineStr"/>
      <c r="C45" s="12" t="inlineStr">
        <is>
          <t>toluene- d 8</t>
        </is>
      </c>
      <c r="D45" s="13" t="n">
        <v>0.0098</v>
      </c>
      <c r="E45" s="13" t="n">
        <v>0.73512</v>
      </c>
      <c r="F45" s="13" t="n">
        <v>0.531065</v>
      </c>
      <c r="G45" s="13" t="n">
        <v>2.13758</v>
      </c>
      <c r="H45" s="13" t="n">
        <v>0.5600000000000001</v>
      </c>
    </row>
    <row r="46">
      <c r="A46" s="13" t="n">
        <v>4</v>
      </c>
      <c r="B46" s="12" t="inlineStr"/>
      <c r="C46" s="12" t="inlineStr">
        <is>
          <t>CD 2 Cl 2</t>
        </is>
      </c>
      <c r="D46" s="13" t="n">
        <v>0.01155</v>
      </c>
      <c r="E46" s="13" t="n">
        <v>0.70628</v>
      </c>
      <c r="F46" s="13" t="n">
        <v>0.5214530000000001</v>
      </c>
      <c r="G46" s="13" t="n">
        <v>2.74368</v>
      </c>
      <c r="H46" s="13" t="n">
        <v>0.413</v>
      </c>
    </row>
    <row r="47">
      <c r="A47" s="13" t="n">
        <v>5</v>
      </c>
      <c r="B47" s="12" t="inlineStr"/>
      <c r="C47" s="12" t="inlineStr">
        <is>
          <t>acetone- d 6</t>
        </is>
      </c>
      <c r="D47" s="13" t="n">
        <v>0.07135</v>
      </c>
      <c r="E47" s="13" t="n">
        <v>0.49819</v>
      </c>
      <c r="F47" s="13" t="n">
        <v>0.452089</v>
      </c>
      <c r="G47" s="13" t="n">
        <v>2.0934</v>
      </c>
      <c r="H47" s="13" t="n">
        <v>0.295</v>
      </c>
    </row>
    <row r="48">
      <c r="A48" s="13" t="n">
        <v>6</v>
      </c>
      <c r="B48" s="12" t="inlineStr">
        <is>
          <t>PEO</t>
        </is>
      </c>
      <c r="C48" s="12" t="inlineStr">
        <is>
          <t>CD 3 OD</t>
        </is>
      </c>
      <c r="D48" s="13" t="n">
        <v>0.03563</v>
      </c>
      <c r="E48" s="13" t="n">
        <v>0.65424</v>
      </c>
      <c r="F48" s="13" t="n">
        <v>0.504105</v>
      </c>
      <c r="G48" s="13" t="n">
        <v>1.43345</v>
      </c>
      <c r="H48" s="13" t="n">
        <v>0.543</v>
      </c>
    </row>
    <row r="49">
      <c r="A49" s="13" t="n">
        <v>7</v>
      </c>
      <c r="B49" s="12" t="inlineStr"/>
      <c r="C49" s="12" t="inlineStr">
        <is>
          <t>D 2 O</t>
        </is>
      </c>
      <c r="D49" s="13" t="n">
        <v>0.02554</v>
      </c>
      <c r="E49" s="13" t="n">
        <v>0.67839</v>
      </c>
      <c r="F49" s="13" t="n">
        <v>0.512155</v>
      </c>
      <c r="G49" s="13" t="n">
        <v>0.792177</v>
      </c>
      <c r="H49" s="13" t="n">
        <v>1.098</v>
      </c>
    </row>
    <row r="50">
      <c r="A50" s="13" t="n">
        <v>8</v>
      </c>
      <c r="B50" s="12" t="inlineStr"/>
      <c r="C50" s="12" t="inlineStr">
        <is>
          <t>THF- d 8</t>
        </is>
      </c>
      <c r="D50" s="13" t="n">
        <v>0.02417</v>
      </c>
      <c r="E50" s="13" t="n">
        <v>0.6831</v>
      </c>
      <c r="F50" s="13" t="n">
        <v>0.513725</v>
      </c>
      <c r="G50" s="13" t="n">
        <v>1.8457</v>
      </c>
      <c r="H50" s="13" t="n">
        <v>0.48</v>
      </c>
    </row>
    <row r="51">
      <c r="A51" s="13" t="n">
        <v>9</v>
      </c>
      <c r="B51" s="12" t="inlineStr"/>
      <c r="C51" s="12" t="inlineStr">
        <is>
          <t>CD 3 CN</t>
        </is>
      </c>
      <c r="D51" s="13" t="n">
        <v>0.02456</v>
      </c>
      <c r="E51" s="13" t="n">
        <v>0.68948</v>
      </c>
      <c r="F51" s="13" t="n">
        <v>0.515853</v>
      </c>
      <c r="G51" s="13" t="n">
        <v>2.56919</v>
      </c>
      <c r="H51" s="13" t="n">
        <v>0.343</v>
      </c>
    </row>
    <row r="52">
      <c r="A52" s="13" t="n">
        <v>10</v>
      </c>
      <c r="B52" s="12" t="inlineStr"/>
      <c r="C52" s="12" t="inlineStr">
        <is>
          <t>acetone- d 6</t>
        </is>
      </c>
      <c r="D52" s="13" t="n">
        <v>0.06862</v>
      </c>
      <c r="E52" s="13" t="n">
        <v>0.56535</v>
      </c>
      <c r="F52" s="13" t="n">
        <v>0.474477</v>
      </c>
      <c r="G52" s="13" t="n">
        <v>2.12079</v>
      </c>
      <c r="H52" s="13" t="n">
        <v>0.295</v>
      </c>
    </row>
    <row r="53">
      <c r="A53" s="13" t="n">
        <v>11</v>
      </c>
      <c r="B53" s="12" t="inlineStr">
        <is>
          <t>PMMA</t>
        </is>
      </c>
      <c r="C53" s="12" t="inlineStr">
        <is>
          <t>THF- d 8</t>
        </is>
      </c>
      <c r="D53" s="13" t="n">
        <v>0.01061</v>
      </c>
      <c r="E53" s="13" t="n">
        <v>0.69474</v>
      </c>
      <c r="F53" s="13" t="n">
        <v>0.517608</v>
      </c>
      <c r="G53" s="13" t="n">
        <v>2.42854</v>
      </c>
      <c r="H53" s="13" t="n">
        <v>0.48</v>
      </c>
    </row>
    <row r="54">
      <c r="A54" s="13" t="n">
        <v>12</v>
      </c>
      <c r="B54" s="12" t="inlineStr"/>
      <c r="C54" s="12" t="inlineStr">
        <is>
          <t>CDCl 3</t>
        </is>
      </c>
      <c r="D54" s="13" t="n">
        <v>0.00517</v>
      </c>
      <c r="E54" s="13" t="n">
        <v>0.77158</v>
      </c>
      <c r="F54" s="13" t="n">
        <v>0.543219</v>
      </c>
      <c r="G54" s="13" t="n">
        <v>2.63117</v>
      </c>
      <c r="H54" s="13" t="n">
        <v>0.5629999999999999</v>
      </c>
    </row>
    <row r="55">
      <c r="A55" s="13" t="n">
        <v>13</v>
      </c>
      <c r="B55" s="12" t="inlineStr"/>
      <c r="C55" s="12" t="inlineStr">
        <is>
          <t>C 6 D 6</t>
        </is>
      </c>
      <c r="D55" s="13" t="n">
        <v>0.00848</v>
      </c>
      <c r="E55" s="13" t="n">
        <v>0.7331</v>
      </c>
      <c r="F55" s="13" t="n">
        <v>0.530394</v>
      </c>
      <c r="G55" s="13" t="n">
        <v>2.07035</v>
      </c>
      <c r="H55" s="13" t="n">
        <v>0.6067</v>
      </c>
    </row>
    <row r="56">
      <c r="A56" s="13" t="n">
        <v>14</v>
      </c>
      <c r="B56" s="12" t="inlineStr"/>
      <c r="C56" s="12" t="inlineStr">
        <is>
          <t>CD 2 Cl 2</t>
        </is>
      </c>
      <c r="D56" s="13" t="n">
        <v>0.00702</v>
      </c>
      <c r="E56" s="13" t="n">
        <v>0.75226</v>
      </c>
      <c r="F56" s="13" t="n">
        <v>0.53678</v>
      </c>
      <c r="G56" s="13" t="n">
        <v>3.23833</v>
      </c>
      <c r="H56" s="13" t="n">
        <v>0.413</v>
      </c>
    </row>
    <row r="57">
      <c r="A57" s="13" t="n">
        <v>15</v>
      </c>
      <c r="B57" s="12" t="inlineStr"/>
      <c r="C57" s="12" t="inlineStr">
        <is>
          <t>DMSO</t>
        </is>
      </c>
      <c r="D57" s="13" t="n">
        <v>0.05265</v>
      </c>
      <c r="E57" s="13" t="n">
        <v>0.47463</v>
      </c>
      <c r="F57" s="13" t="n">
        <v>0.444236</v>
      </c>
      <c r="G57" s="13" t="n">
        <v>0.312052</v>
      </c>
      <c r="H57" s="13" t="n">
        <v>2.19</v>
      </c>
    </row>
  </sheetData>
  <mergeCells count="17">
    <mergeCell ref="A13:G13"/>
    <mergeCell ref="B16:G16"/>
    <mergeCell ref="B10:G10"/>
    <mergeCell ref="A40:G40"/>
    <mergeCell ref="A1:G2"/>
    <mergeCell ref="B5:G5"/>
    <mergeCell ref="B14:G14"/>
    <mergeCell ref="B17:G17"/>
    <mergeCell ref="B9:G9"/>
    <mergeCell ref="A4:G4"/>
    <mergeCell ref="B8:G8"/>
    <mergeCell ref="A20:G20"/>
    <mergeCell ref="B18:G18"/>
    <mergeCell ref="B15:G15"/>
    <mergeCell ref="B7:G7"/>
    <mergeCell ref="B11:G11"/>
    <mergeCell ref="B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2026-07-13T15:14:21Z</dcterms:created>
  <dcterms:modified xmlns:dcterms="http://purl.org/dc/terms/" xmlns:xsi="http://www.w3.org/2001/XMLSchema-instance" xsi:type="dcterms:W3CDTF">2026-07-13T15:14:21Z</dcterms:modified>
</cp:coreProperties>
</file>