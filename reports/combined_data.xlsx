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-Houwink" sheetId="1" state="visible" r:id="rId1"/>
    <sheet xmlns:r="http://schemas.openxmlformats.org/officeDocument/2006/relationships" name="Flory" sheetId="2" state="visible" r:id="rId2"/>
    <sheet xmlns:r="http://schemas.openxmlformats.org/officeDocument/2006/relationships" name="Failur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Mark-Houwink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'Mark-Houwink'!R2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'Mark-Houwink'!$S$2:$T$2</f>
            </numRef>
          </val>
        </ser>
        <ser>
          <idx val="1"/>
          <order val="1"/>
          <tx>
            <strRef>
              <f>'Mark-Houwink'!R3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'Mark-Houwink'!$S$3:$T$3</f>
            </numRef>
          </val>
        </ser>
        <ser>
          <idx val="2"/>
          <order val="2"/>
          <tx>
            <strRef>
              <f>'Mark-Houwink'!R4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'Mark-Houwink'!$S$4:$T$4</f>
            </numRef>
          </val>
        </ser>
        <ser>
          <idx val="3"/>
          <order val="3"/>
          <tx>
            <strRef>
              <f>'Mark-Houwink'!R5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'Mark-Houwink'!$S$5:$T$5</f>
            </numRef>
          </val>
        </ser>
        <ser>
          <idx val="4"/>
          <order val="4"/>
          <tx>
            <strRef>
              <f>'Mark-Houwink'!R6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'Mark-Houwink'!$S$6:$T$6</f>
            </numRef>
          </val>
        </ser>
        <ser>
          <idx val="5"/>
          <order val="5"/>
          <tx>
            <strRef>
              <f>'Mark-Houwink'!R7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'Mark-Houwink'!$S$7:$T$7</f>
            </numRef>
          </val>
        </ser>
        <ser>
          <idx val="6"/>
          <order val="6"/>
          <tx>
            <strRef>
              <f>'Mark-Houwink'!R8</f>
            </strRef>
          </tx>
          <spPr>
            <a:ln xmlns:a="http://schemas.openxmlformats.org/drawingml/2006/main">
              <a:solidFill>
                <a:srgbClr val="E26B0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'Mark-Houwink'!$S$8:$T$8</f>
            </numRef>
          </val>
        </ser>
        <ser>
          <idx val="7"/>
          <order val="7"/>
          <tx>
            <strRef>
              <f>'Mark-Houwink'!R9</f>
            </strRef>
          </tx>
          <spPr>
            <a:ln xmlns:a="http://schemas.openxmlformats.org/drawingml/2006/main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'Mark-Houwink'!$S$9:$T$9</f>
            </numRef>
          </val>
        </ser>
        <ser>
          <idx val="8"/>
          <order val="8"/>
          <tx>
            <strRef>
              <f>'Mark-Houwink'!R10</f>
            </strRef>
          </tx>
          <spPr>
            <a:ln xmlns:a="http://schemas.openxmlformats.org/drawingml/2006/main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'Mark-Houwink'!$S$10:$T$10</f>
            </numRef>
          </val>
        </ser>
        <ser>
          <idx val="9"/>
          <order val="9"/>
          <tx>
            <strRef>
              <f>'Mark-Houwink'!R11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'Mark-Houwink'!$S$11:$T$11</f>
            </numRef>
          </val>
        </ser>
        <ser>
          <idx val="10"/>
          <order val="10"/>
          <tx>
            <strRef>
              <f>'Mark-Houwink'!R12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'Mark-Houwink'!$S$12:$T$12</f>
            </numRef>
          </val>
        </ser>
        <ser>
          <idx val="11"/>
          <order val="11"/>
          <tx>
            <strRef>
              <f>'Mark-Houwink'!R13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'Mark-Houwink'!$S$13:$T$13</f>
            </numRef>
          </val>
        </ser>
        <ser>
          <idx val="12"/>
          <order val="12"/>
          <tx>
            <strRef>
              <f>'Mark-Houwink'!R14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'Mark-Houwink'!$S$14:$T$14</f>
            </numRef>
          </val>
        </ser>
        <ser>
          <idx val="13"/>
          <order val="13"/>
          <tx>
            <strRef>
              <f>'Mark-Houwink'!R15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'Mark-Houwink'!$S$15:$T$15</f>
            </numRef>
          </val>
        </ser>
        <ser>
          <idx val="14"/>
          <order val="14"/>
          <tx>
            <strRef>
              <f>'Mark-Houwink'!R16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'Mark-Houwink'!$S$16:$T$16</f>
            </numRef>
          </val>
        </ser>
        <ser>
          <idx val="15"/>
          <order val="15"/>
          <tx>
            <strRef>
              <f>'Mark-Houwink'!R17</f>
            </strRef>
          </tx>
          <spPr>
            <a:ln xmlns:a="http://schemas.openxmlformats.org/drawingml/2006/main">
              <a:solidFill>
                <a:srgbClr val="E26B0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'Mark-Houwink'!$S$1:$T$1</f>
            </numRef>
          </cat>
          <val>
            <numRef>
              <f>'Mark-Houwink'!$S$17:$T$17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03"/>
          <min val="-0.47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log([eta] / mL g⁻¹)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'Flory'!R2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'Flory'!$S$2:$T$2</f>
            </numRef>
          </val>
        </ser>
        <ser>
          <idx val="1"/>
          <order val="1"/>
          <tx>
            <strRef>
              <f>'Flory'!R3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'Flory'!$S$3:$T$3</f>
            </numRef>
          </val>
        </ser>
        <ser>
          <idx val="2"/>
          <order val="2"/>
          <tx>
            <strRef>
              <f>'Flory'!R4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'Flory'!$S$4:$T$4</f>
            </numRef>
          </val>
        </ser>
        <ser>
          <idx val="3"/>
          <order val="3"/>
          <tx>
            <strRef>
              <f>'Flory'!R5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'Flory'!$S$5:$T$5</f>
            </numRef>
          </val>
        </ser>
        <ser>
          <idx val="4"/>
          <order val="4"/>
          <tx>
            <strRef>
              <f>'Flory'!R6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'Flory'!$S$6:$T$6</f>
            </numRef>
          </val>
        </ser>
        <ser>
          <idx val="5"/>
          <order val="5"/>
          <tx>
            <strRef>
              <f>'Flory'!R7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'Flory'!$S$7:$T$7</f>
            </numRef>
          </val>
        </ser>
        <ser>
          <idx val="6"/>
          <order val="6"/>
          <tx>
            <strRef>
              <f>'Flory'!R8</f>
            </strRef>
          </tx>
          <spPr>
            <a:ln xmlns:a="http://schemas.openxmlformats.org/drawingml/2006/main">
              <a:solidFill>
                <a:srgbClr val="E26B0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'Flory'!$S$8:$T$8</f>
            </numRef>
          </val>
        </ser>
        <ser>
          <idx val="7"/>
          <order val="7"/>
          <tx>
            <strRef>
              <f>'Flory'!R9</f>
            </strRef>
          </tx>
          <spPr>
            <a:ln xmlns:a="http://schemas.openxmlformats.org/drawingml/2006/main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'Flory'!$S$9:$T$9</f>
            </numRef>
          </val>
        </ser>
        <ser>
          <idx val="8"/>
          <order val="8"/>
          <tx>
            <strRef>
              <f>'Flory'!R10</f>
            </strRef>
          </tx>
          <spPr>
            <a:ln xmlns:a="http://schemas.openxmlformats.org/drawingml/2006/main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'Flory'!$S$10:$T$10</f>
            </numRef>
          </val>
        </ser>
        <ser>
          <idx val="9"/>
          <order val="9"/>
          <tx>
            <strRef>
              <f>'Flory'!R11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'Flory'!$S$11:$T$11</f>
            </numRef>
          </val>
        </ser>
        <ser>
          <idx val="10"/>
          <order val="10"/>
          <tx>
            <strRef>
              <f>'Flory'!R12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'Flory'!$S$12:$T$12</f>
            </numRef>
          </val>
        </ser>
        <ser>
          <idx val="11"/>
          <order val="11"/>
          <tx>
            <strRef>
              <f>'Flory'!R13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'Flory'!$S$13:$T$13</f>
            </numRef>
          </val>
        </ser>
        <ser>
          <idx val="12"/>
          <order val="12"/>
          <tx>
            <strRef>
              <f>'Flory'!R14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'Flory'!$S$14:$T$14</f>
            </numRef>
          </val>
        </ser>
        <ser>
          <idx val="13"/>
          <order val="13"/>
          <tx>
            <strRef>
              <f>'Flory'!R15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'Flory'!$S$15:$T$15</f>
            </numRef>
          </val>
        </ser>
        <ser>
          <idx val="14"/>
          <order val="14"/>
          <tx>
            <strRef>
              <f>'Flory'!R16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'Flory'!$S$16:$T$16</f>
            </numRef>
          </val>
        </ser>
        <ser>
          <idx val="15"/>
          <order val="15"/>
          <tx>
            <strRef>
              <f>'Flory'!R17</f>
            </strRef>
          </tx>
          <spPr>
            <a:ln xmlns:a="http://schemas.openxmlformats.org/drawingml/2006/main">
              <a:solidFill>
                <a:srgbClr val="E26B0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'Flory'!$S$17:$T$17</f>
            </numRef>
          </val>
        </ser>
        <ser>
          <idx val="16"/>
          <order val="16"/>
          <tx>
            <strRef>
              <f>'Flory'!R18</f>
            </strRef>
          </tx>
          <spPr>
            <a:ln xmlns:a="http://schemas.openxmlformats.org/drawingml/2006/main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'Flory'!$S$18:$T$18</f>
            </numRef>
          </val>
        </ser>
        <ser>
          <idx val="17"/>
          <order val="17"/>
          <tx>
            <strRef>
              <f>'Flory'!R19</f>
            </strRef>
          </tx>
          <spPr>
            <a:ln xmlns:a="http://schemas.openxmlformats.org/drawingml/2006/main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'Flory'!$S$19:$T$19</f>
            </numRef>
          </val>
        </ser>
        <ser>
          <idx val="18"/>
          <order val="18"/>
          <tx>
            <strRef>
              <f>'Flory'!R20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'Flory'!$S$20:$T$20</f>
            </numRef>
          </val>
        </ser>
        <ser>
          <idx val="19"/>
          <order val="19"/>
          <tx>
            <strRef>
              <f>'Flory'!R21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'Flory'!$S$21:$T$21</f>
            </numRef>
          </val>
        </ser>
        <ser>
          <idx val="20"/>
          <order val="20"/>
          <tx>
            <strRef>
              <f>'Flory'!R22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'Flory'!$S$22:$T$22</f>
            </numRef>
          </val>
        </ser>
        <ser>
          <idx val="21"/>
          <order val="21"/>
          <tx>
            <strRef>
              <f>'Flory'!R23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'Flory'!$S$23:$T$23</f>
            </numRef>
          </val>
        </ser>
        <ser>
          <idx val="22"/>
          <order val="22"/>
          <tx>
            <strRef>
              <f>'Flory'!R24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'Flory'!$S$24:$T$24</f>
            </numRef>
          </val>
        </ser>
        <ser>
          <idx val="23"/>
          <order val="23"/>
          <tx>
            <strRef>
              <f>'Flory'!R25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'Flory'!$S$25:$T$25</f>
            </numRef>
          </val>
        </ser>
        <ser>
          <idx val="24"/>
          <order val="24"/>
          <tx>
            <strRef>
              <f>'Flory'!R26</f>
            </strRef>
          </tx>
          <spPr>
            <a:ln xmlns:a="http://schemas.openxmlformats.org/drawingml/2006/main">
              <a:solidFill>
                <a:srgbClr val="E26B0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'Flory'!$S$26:$T$26</f>
            </numRef>
          </val>
        </ser>
        <ser>
          <idx val="25"/>
          <order val="25"/>
          <tx>
            <strRef>
              <f>'Flory'!R27</f>
            </strRef>
          </tx>
          <spPr>
            <a:ln xmlns:a="http://schemas.openxmlformats.org/drawingml/2006/main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'Flory'!$S$27:$T$27</f>
            </numRef>
          </val>
        </ser>
        <ser>
          <idx val="26"/>
          <order val="26"/>
          <tx>
            <strRef>
              <f>'Flory'!R28</f>
            </strRef>
          </tx>
          <spPr>
            <a:ln xmlns:a="http://schemas.openxmlformats.org/drawingml/2006/main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'Flory'!$S$28:$T$28</f>
            </numRef>
          </val>
        </ser>
        <ser>
          <idx val="27"/>
          <order val="27"/>
          <tx>
            <strRef>
              <f>'Flory'!R29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'Flory'!$S$29:$T$29</f>
            </numRef>
          </val>
        </ser>
        <ser>
          <idx val="28"/>
          <order val="28"/>
          <tx>
            <strRef>
              <f>'Flory'!R30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'Flory'!$S$30:$T$30</f>
            </numRef>
          </val>
        </ser>
        <ser>
          <idx val="29"/>
          <order val="29"/>
          <tx>
            <strRef>
              <f>'Flory'!R31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'Flory'!$S$31:$T$31</f>
            </numRef>
          </val>
        </ser>
        <ser>
          <idx val="30"/>
          <order val="30"/>
          <tx>
            <strRef>
              <f>'Flory'!R32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'Flory'!$S$32:$T$32</f>
            </numRef>
          </val>
        </ser>
        <ser>
          <idx val="31"/>
          <order val="31"/>
          <tx>
            <strRef>
              <f>'Flory'!R33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'Flory'!$S$33:$T$33</f>
            </numRef>
          </val>
        </ser>
        <ser>
          <idx val="32"/>
          <order val="32"/>
          <tx>
            <strRef>
              <f>'Flory'!R34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'Flory'!$S$34:$T$34</f>
            </numRef>
          </val>
        </ser>
        <ser>
          <idx val="33"/>
          <order val="33"/>
          <tx>
            <strRef>
              <f>'Flory'!R35</f>
            </strRef>
          </tx>
          <spPr>
            <a:ln xmlns:a="http://schemas.openxmlformats.org/drawingml/2006/main">
              <a:solidFill>
                <a:srgbClr val="E26B0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'Flory'!$S$35:$T$35</f>
            </numRef>
          </val>
        </ser>
        <ser>
          <idx val="34"/>
          <order val="34"/>
          <tx>
            <strRef>
              <f>'Flory'!R36</f>
            </strRef>
          </tx>
          <spPr>
            <a:ln xmlns:a="http://schemas.openxmlformats.org/drawingml/2006/main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'Flory'!$S$36:$T$36</f>
            </numRef>
          </val>
        </ser>
        <ser>
          <idx val="35"/>
          <order val="35"/>
          <tx>
            <strRef>
              <f>'Flory'!R37</f>
            </strRef>
          </tx>
          <spPr>
            <a:ln xmlns:a="http://schemas.openxmlformats.org/drawingml/2006/main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'Flory'!$S$37:$T$37</f>
            </numRef>
          </val>
        </ser>
        <ser>
          <idx val="36"/>
          <order val="36"/>
          <tx>
            <strRef>
              <f>'Flory'!R38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'Flory'!$S$38:$T$38</f>
            </numRef>
          </val>
        </ser>
        <ser>
          <idx val="37"/>
          <order val="37"/>
          <tx>
            <strRef>
              <f>'Flory'!R39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'Flory'!$S$39:$T$39</f>
            </numRef>
          </val>
        </ser>
        <ser>
          <idx val="38"/>
          <order val="38"/>
          <tx>
            <strRef>
              <f>'Flory'!R40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'Flory'!$S$40:$T$40</f>
            </numRef>
          </val>
        </ser>
        <ser>
          <idx val="39"/>
          <order val="39"/>
          <tx>
            <strRef>
              <f>'Flory'!R41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'Flory'!$S$41:$T$41</f>
            </numRef>
          </val>
        </ser>
        <ser>
          <idx val="40"/>
          <order val="40"/>
          <tx>
            <strRef>
              <f>'Flory'!R42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'Flory'!$S$42:$T$42</f>
            </numRef>
          </val>
        </ser>
        <ser>
          <idx val="41"/>
          <order val="41"/>
          <tx>
            <strRef>
              <f>'Flory'!R43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'Flory'!$S$43:$T$43</f>
            </numRef>
          </val>
        </ser>
        <ser>
          <idx val="42"/>
          <order val="42"/>
          <tx>
            <strRef>
              <f>'Flory'!R44</f>
            </strRef>
          </tx>
          <spPr>
            <a:ln xmlns:a="http://schemas.openxmlformats.org/drawingml/2006/main">
              <a:solidFill>
                <a:srgbClr val="E26B0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'Flory'!$S$44:$T$44</f>
            </numRef>
          </val>
        </ser>
        <ser>
          <idx val="43"/>
          <order val="43"/>
          <tx>
            <strRef>
              <f>'Flory'!R45</f>
            </strRef>
          </tx>
          <spPr>
            <a:ln xmlns:a="http://schemas.openxmlformats.org/drawingml/2006/main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'Flory'!$S$45:$T$45</f>
            </numRef>
          </val>
        </ser>
        <ser>
          <idx val="44"/>
          <order val="44"/>
          <tx>
            <strRef>
              <f>'Flory'!R46</f>
            </strRef>
          </tx>
          <spPr>
            <a:ln xmlns:a="http://schemas.openxmlformats.org/drawingml/2006/main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'Flory'!$S$46:$T$46</f>
            </numRef>
          </val>
        </ser>
        <ser>
          <idx val="45"/>
          <order val="45"/>
          <tx>
            <strRef>
              <f>'Flory'!R47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'Flory'!$S$47:$T$47</f>
            </numRef>
          </val>
        </ser>
        <ser>
          <idx val="46"/>
          <order val="46"/>
          <tx>
            <strRef>
              <f>'Flory'!R48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'Flory'!$S$1:$T$1</f>
            </numRef>
          </cat>
          <val>
            <numRef>
              <f>'Flory'!$S$48:$T$48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-8.539999999999999"/>
          <min val="-11.7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21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1" customWidth="1" min="3" max="3"/>
    <col width="28" customWidth="1" min="4" max="4"/>
    <col width="21" customWidth="1" min="5" max="5"/>
    <col width="21" customWidth="1" min="6" max="6"/>
    <col width="18" customWidth="1" min="7" max="7"/>
    <col width="17" customWidth="1" min="8" max="8"/>
    <col width="19" customWidth="1" min="9" max="9"/>
    <col width="12" customWidth="1" min="10" max="10"/>
    <col width="19" customWidth="1" min="11" max="11"/>
    <col width="15" customWidth="1" min="12" max="12"/>
    <col width="12" customWidth="1" min="13" max="13"/>
    <col width="21" customWidth="1" min="14" max="14"/>
    <col width="28" customWidth="1" min="15" max="15"/>
    <col width="12" customWidth="1" min="16" max="16"/>
    <col width="12" customWidth="1" min="17" max="17"/>
    <col width="58" customWidth="1" min="18" max="18"/>
    <col width="20" customWidth="1" min="19" max="19"/>
    <col width="20" customWidth="1" min="20" max="20"/>
  </cols>
  <sheetData>
    <row r="1">
      <c r="A1" s="1" t="inlineStr">
        <is>
          <t>Source Paper</t>
        </is>
      </c>
      <c r="B1" s="1" t="inlineStr">
        <is>
          <t>Table</t>
        </is>
      </c>
      <c r="C1" s="1" t="inlineStr">
        <is>
          <t>Polymer (Original)</t>
        </is>
      </c>
      <c r="D1" s="1" t="inlineStr">
        <is>
          <t>Polymer (Clean)</t>
        </is>
      </c>
      <c r="E1" s="1" t="inlineStr">
        <is>
          <t>Solvent (Original)</t>
        </is>
      </c>
      <c r="F1" s="1" t="inlineStr">
        <is>
          <t>Solvent (Clean)</t>
        </is>
      </c>
      <c r="G1" s="1" t="inlineStr">
        <is>
          <t>Temperature (K)</t>
        </is>
      </c>
      <c r="H1" s="1" t="inlineStr">
        <is>
          <t>K Value (mL/g)</t>
        </is>
      </c>
      <c r="I1" s="1" t="inlineStr">
        <is>
          <t>K Transformation</t>
        </is>
      </c>
      <c r="J1" s="1" t="inlineStr">
        <is>
          <t>a Value</t>
        </is>
      </c>
      <c r="K1" s="1" t="inlineStr">
        <is>
          <t>a Transformation</t>
        </is>
      </c>
      <c r="L1" s="1" t="inlineStr">
        <is>
          <t>Failed Field</t>
        </is>
      </c>
      <c r="N1" s="1" t="inlineStr">
        <is>
          <t>Solvent</t>
        </is>
      </c>
      <c r="O1" s="1" t="inlineStr">
        <is>
          <t>Polymer</t>
        </is>
      </c>
      <c r="P1" s="1" t="inlineStr">
        <is>
          <t>Count</t>
        </is>
      </c>
      <c r="R1" s="1" t="inlineStr">
        <is>
          <t>Series</t>
        </is>
      </c>
      <c r="S1" s="1" t="n">
        <v>3</v>
      </c>
      <c r="T1" s="1" t="n">
        <v>6</v>
      </c>
    </row>
    <row r="2">
      <c r="A2" s="2" t="inlineStr">
        <is>
          <t>test1</t>
        </is>
      </c>
      <c r="B2" s="2" t="inlineStr">
        <is>
          <t>table1</t>
        </is>
      </c>
      <c r="C2" s="2" t="inlineStr">
        <is>
          <t>PS</t>
        </is>
      </c>
      <c r="D2" s="2" t="inlineStr">
        <is>
          <t>polystyrene</t>
        </is>
      </c>
      <c r="E2" s="2" t="inlineStr">
        <is>
          <t>THF-d8</t>
        </is>
      </c>
      <c r="F2" s="2" t="inlineStr">
        <is>
          <t>tetrahydrofuran-d8</t>
        </is>
      </c>
      <c r="G2" s="3" t="n">
        <v>298.15</v>
      </c>
      <c r="H2" s="3" t="n">
        <v>0.0141</v>
      </c>
      <c r="I2" s="2" t="inlineStr">
        <is>
          <t>none</t>
        </is>
      </c>
      <c r="J2" s="3" t="n">
        <v>0.7</v>
      </c>
      <c r="K2" s="2" t="inlineStr">
        <is>
          <t>none</t>
        </is>
      </c>
      <c r="L2" s="2" t="inlineStr">
        <is>
          <t>None</t>
        </is>
      </c>
      <c r="N2" s="2" t="inlineStr">
        <is>
          <t>acetone-d6</t>
        </is>
      </c>
      <c r="O2" s="2" t="inlineStr">
        <is>
          <t>poly(ethylene oxide)</t>
        </is>
      </c>
      <c r="P2" s="3" t="n">
        <v>1</v>
      </c>
      <c r="R2" s="2" t="inlineStr">
        <is>
          <t>polystyrene in tetrahydrofuran-d8 (test1)</t>
        </is>
      </c>
      <c r="S2" s="3">
        <f>LOG10(H2)+J2*3</f>
        <v/>
      </c>
      <c r="T2" s="3">
        <f>LOG10(H2)+J2*6</f>
        <v/>
      </c>
    </row>
    <row r="3">
      <c r="A3" s="2" t="inlineStr">
        <is>
          <t>test1</t>
        </is>
      </c>
      <c r="B3" s="2" t="inlineStr">
        <is>
          <t>table1</t>
        </is>
      </c>
      <c r="C3" s="2" t="inlineStr">
        <is>
          <t>PS</t>
        </is>
      </c>
      <c r="D3" s="2" t="inlineStr">
        <is>
          <t>polystyrene</t>
        </is>
      </c>
      <c r="E3" s="2" t="inlineStr">
        <is>
          <t>CDCl3</t>
        </is>
      </c>
      <c r="F3" s="2" t="inlineStr">
        <is>
          <t>chloroform-d</t>
        </is>
      </c>
      <c r="G3" s="3" t="n">
        <v>298.15</v>
      </c>
      <c r="H3" s="3" t="n">
        <v>0.00732</v>
      </c>
      <c r="I3" s="2" t="inlineStr">
        <is>
          <t>none</t>
        </is>
      </c>
      <c r="J3" s="3" t="n">
        <v>0.74596</v>
      </c>
      <c r="K3" s="2" t="inlineStr">
        <is>
          <t>none</t>
        </is>
      </c>
      <c r="L3" s="2" t="inlineStr">
        <is>
          <t>None</t>
        </is>
      </c>
      <c r="N3" s="2" t="inlineStr">
        <is>
          <t>acetone-d6</t>
        </is>
      </c>
      <c r="O3" s="2" t="inlineStr">
        <is>
          <t>polystyrene</t>
        </is>
      </c>
      <c r="P3" s="3" t="n">
        <v>1</v>
      </c>
      <c r="R3" s="2" t="inlineStr">
        <is>
          <t>polystyrene in chloroform-d (test1)</t>
        </is>
      </c>
      <c r="S3" s="3">
        <f>LOG10(H3)+J3*3</f>
        <v/>
      </c>
      <c r="T3" s="3">
        <f>LOG10(H3)+J3*6</f>
        <v/>
      </c>
    </row>
    <row r="4">
      <c r="A4" s="2" t="inlineStr">
        <is>
          <t>test1</t>
        </is>
      </c>
      <c r="B4" s="2" t="inlineStr">
        <is>
          <t>table1</t>
        </is>
      </c>
      <c r="C4" s="2" t="inlineStr">
        <is>
          <t>PS</t>
        </is>
      </c>
      <c r="D4" s="2" t="inlineStr">
        <is>
          <t>polystyrene</t>
        </is>
      </c>
      <c r="E4" s="2" t="inlineStr">
        <is>
          <t>C6D6</t>
        </is>
      </c>
      <c r="F4" s="2" t="inlineStr">
        <is>
          <t>benzene-d6</t>
        </is>
      </c>
      <c r="G4" s="3" t="n">
        <v>298.15</v>
      </c>
      <c r="H4" s="3" t="n">
        <v>0.01077</v>
      </c>
      <c r="I4" s="2" t="inlineStr">
        <is>
          <t>none</t>
        </is>
      </c>
      <c r="J4" s="3" t="n">
        <v>0.72682</v>
      </c>
      <c r="K4" s="2" t="inlineStr">
        <is>
          <t>none</t>
        </is>
      </c>
      <c r="L4" s="2" t="inlineStr">
        <is>
          <t>None</t>
        </is>
      </c>
      <c r="N4" s="2" t="inlineStr">
        <is>
          <t>acetonitrile-d3</t>
        </is>
      </c>
      <c r="O4" s="2" t="inlineStr">
        <is>
          <t>poly(ethylene oxide)</t>
        </is>
      </c>
      <c r="P4" s="3" t="n">
        <v>1</v>
      </c>
      <c r="R4" s="2" t="inlineStr">
        <is>
          <t>polystyrene in benzene-d6 (test1)</t>
        </is>
      </c>
      <c r="S4" s="3">
        <f>LOG10(H4)+J4*3</f>
        <v/>
      </c>
      <c r="T4" s="3">
        <f>LOG10(H4)+J4*6</f>
        <v/>
      </c>
    </row>
    <row r="5">
      <c r="A5" s="2" t="inlineStr">
        <is>
          <t>test1</t>
        </is>
      </c>
      <c r="B5" s="2" t="inlineStr">
        <is>
          <t>table1</t>
        </is>
      </c>
      <c r="C5" s="2" t="inlineStr">
        <is>
          <t>PS</t>
        </is>
      </c>
      <c r="D5" s="2" t="inlineStr">
        <is>
          <t>polystyrene</t>
        </is>
      </c>
      <c r="E5" s="2" t="inlineStr">
        <is>
          <t>toluene-d8</t>
        </is>
      </c>
      <c r="F5" s="2" t="inlineStr">
        <is>
          <t>toluene-d8</t>
        </is>
      </c>
      <c r="G5" s="3" t="n">
        <v>298.15</v>
      </c>
      <c r="H5" s="3" t="n">
        <v>0.0098</v>
      </c>
      <c r="I5" s="2" t="inlineStr">
        <is>
          <t>none</t>
        </is>
      </c>
      <c r="J5" s="3" t="n">
        <v>0.73512</v>
      </c>
      <c r="K5" s="2" t="inlineStr">
        <is>
          <t>none</t>
        </is>
      </c>
      <c r="L5" s="2" t="inlineStr">
        <is>
          <t>None</t>
        </is>
      </c>
      <c r="N5" s="2" t="inlineStr">
        <is>
          <t>benzene-d6</t>
        </is>
      </c>
      <c r="O5" s="2" t="inlineStr">
        <is>
          <t>poly(methyl methacrylate)</t>
        </is>
      </c>
      <c r="P5" s="3" t="n">
        <v>1</v>
      </c>
      <c r="R5" s="2" t="inlineStr">
        <is>
          <t>polystyrene in toluene-d8 (test1)</t>
        </is>
      </c>
      <c r="S5" s="3">
        <f>LOG10(H5)+J5*3</f>
        <v/>
      </c>
      <c r="T5" s="3">
        <f>LOG10(H5)+J5*6</f>
        <v/>
      </c>
    </row>
    <row r="6">
      <c r="A6" s="2" t="inlineStr">
        <is>
          <t>test1</t>
        </is>
      </c>
      <c r="B6" s="2" t="inlineStr">
        <is>
          <t>table1</t>
        </is>
      </c>
      <c r="C6" s="2" t="inlineStr">
        <is>
          <t>PS</t>
        </is>
      </c>
      <c r="D6" s="2" t="inlineStr">
        <is>
          <t>polystyrene</t>
        </is>
      </c>
      <c r="E6" s="2" t="inlineStr">
        <is>
          <t>CD2Cl2</t>
        </is>
      </c>
      <c r="F6" s="2" t="inlineStr">
        <is>
          <t>dichloromethane</t>
        </is>
      </c>
      <c r="G6" s="3" t="n">
        <v>298.15</v>
      </c>
      <c r="H6" s="3" t="n">
        <v>0.01155</v>
      </c>
      <c r="I6" s="2" t="inlineStr">
        <is>
          <t>none</t>
        </is>
      </c>
      <c r="J6" s="3" t="n">
        <v>0.70628</v>
      </c>
      <c r="K6" s="2" t="inlineStr">
        <is>
          <t>none</t>
        </is>
      </c>
      <c r="L6" s="2" t="inlineStr">
        <is>
          <t>None</t>
        </is>
      </c>
      <c r="N6" s="2" t="inlineStr">
        <is>
          <t>benzene-d6</t>
        </is>
      </c>
      <c r="O6" s="2" t="inlineStr">
        <is>
          <t>polystyrene</t>
        </is>
      </c>
      <c r="P6" s="3" t="n">
        <v>1</v>
      </c>
      <c r="R6" s="2" t="inlineStr">
        <is>
          <t>polystyrene in dichloromethane (test1)</t>
        </is>
      </c>
      <c r="S6" s="3">
        <f>LOG10(H6)+J6*3</f>
        <v/>
      </c>
      <c r="T6" s="3">
        <f>LOG10(H6)+J6*6</f>
        <v/>
      </c>
    </row>
    <row r="7">
      <c r="A7" s="2" t="inlineStr">
        <is>
          <t>test1</t>
        </is>
      </c>
      <c r="B7" s="2" t="inlineStr">
        <is>
          <t>table1</t>
        </is>
      </c>
      <c r="C7" s="2" t="inlineStr">
        <is>
          <t>PS</t>
        </is>
      </c>
      <c r="D7" s="2" t="inlineStr">
        <is>
          <t>polystyrene</t>
        </is>
      </c>
      <c r="E7" s="2" t="inlineStr">
        <is>
          <t>acetone-d6</t>
        </is>
      </c>
      <c r="F7" s="2" t="inlineStr">
        <is>
          <t>acetone-d6</t>
        </is>
      </c>
      <c r="G7" s="3" t="n">
        <v>298.15</v>
      </c>
      <c r="H7" s="3" t="n">
        <v>0.07135</v>
      </c>
      <c r="I7" s="2" t="inlineStr">
        <is>
          <t>none</t>
        </is>
      </c>
      <c r="J7" s="3" t="n">
        <v>0.49819</v>
      </c>
      <c r="K7" s="2" t="inlineStr">
        <is>
          <t>none</t>
        </is>
      </c>
      <c r="L7" s="2" t="inlineStr">
        <is>
          <t>None</t>
        </is>
      </c>
      <c r="N7" s="2" t="inlineStr">
        <is>
          <t>chloroform-d</t>
        </is>
      </c>
      <c r="O7" s="2" t="inlineStr">
        <is>
          <t>poly(methyl methacrylate)</t>
        </is>
      </c>
      <c r="P7" s="3" t="n">
        <v>1</v>
      </c>
      <c r="R7" s="2" t="inlineStr">
        <is>
          <t>polystyrene in acetone-d6 (test1)</t>
        </is>
      </c>
      <c r="S7" s="3">
        <f>LOG10(H7)+J7*3</f>
        <v/>
      </c>
      <c r="T7" s="3">
        <f>LOG10(H7)+J7*6</f>
        <v/>
      </c>
    </row>
    <row r="8">
      <c r="A8" s="2" t="inlineStr">
        <is>
          <t>test1</t>
        </is>
      </c>
      <c r="B8" s="2" t="inlineStr">
        <is>
          <t>table1</t>
        </is>
      </c>
      <c r="C8" s="2" t="inlineStr">
        <is>
          <t>PEO</t>
        </is>
      </c>
      <c r="D8" s="2" t="inlineStr">
        <is>
          <t>poly(ethylene oxide)</t>
        </is>
      </c>
      <c r="E8" s="2" t="inlineStr">
        <is>
          <t>CD3OD</t>
        </is>
      </c>
      <c r="F8" s="2" t="inlineStr">
        <is>
          <t>methanol-d4</t>
        </is>
      </c>
      <c r="G8" s="3" t="n">
        <v>298.15</v>
      </c>
      <c r="H8" s="3" t="n">
        <v>0.03563</v>
      </c>
      <c r="I8" s="2" t="inlineStr">
        <is>
          <t>none</t>
        </is>
      </c>
      <c r="J8" s="3" t="n">
        <v>0.65424</v>
      </c>
      <c r="K8" s="2" t="inlineStr">
        <is>
          <t>none</t>
        </is>
      </c>
      <c r="L8" s="2" t="inlineStr">
        <is>
          <t>None</t>
        </is>
      </c>
      <c r="N8" s="2" t="inlineStr">
        <is>
          <t>chloroform-d</t>
        </is>
      </c>
      <c r="O8" s="2" t="inlineStr">
        <is>
          <t>polystyrene</t>
        </is>
      </c>
      <c r="P8" s="3" t="n">
        <v>1</v>
      </c>
      <c r="R8" s="2" t="inlineStr">
        <is>
          <t>poly(ethylene oxide) in methanol-d4 (test1)</t>
        </is>
      </c>
      <c r="S8" s="3">
        <f>LOG10(H8)+J8*3</f>
        <v/>
      </c>
      <c r="T8" s="3">
        <f>LOG10(H8)+J8*6</f>
        <v/>
      </c>
    </row>
    <row r="9">
      <c r="A9" s="2" t="inlineStr">
        <is>
          <t>test1</t>
        </is>
      </c>
      <c r="B9" s="2" t="inlineStr">
        <is>
          <t>table1</t>
        </is>
      </c>
      <c r="C9" s="2" t="inlineStr">
        <is>
          <t>PEO</t>
        </is>
      </c>
      <c r="D9" s="2" t="inlineStr">
        <is>
          <t>poly(ethylene oxide)</t>
        </is>
      </c>
      <c r="E9" s="2" t="inlineStr">
        <is>
          <t>D2O</t>
        </is>
      </c>
      <c r="F9" s="2" t="inlineStr">
        <is>
          <t>deuterium oxide</t>
        </is>
      </c>
      <c r="G9" s="3" t="n">
        <v>298.15</v>
      </c>
      <c r="H9" s="3" t="n">
        <v>0.02554</v>
      </c>
      <c r="I9" s="2" t="inlineStr">
        <is>
          <t>none</t>
        </is>
      </c>
      <c r="J9" s="3" t="n">
        <v>0.67839</v>
      </c>
      <c r="K9" s="2" t="inlineStr">
        <is>
          <t>none</t>
        </is>
      </c>
      <c r="L9" s="2" t="inlineStr">
        <is>
          <t>None</t>
        </is>
      </c>
      <c r="N9" s="2" t="inlineStr">
        <is>
          <t>deuterium oxide</t>
        </is>
      </c>
      <c r="O9" s="2" t="inlineStr">
        <is>
          <t>poly(ethylene oxide)</t>
        </is>
      </c>
      <c r="P9" s="3" t="n">
        <v>1</v>
      </c>
      <c r="R9" s="2" t="inlineStr">
        <is>
          <t>poly(ethylene oxide) in deuterium oxide (test1)</t>
        </is>
      </c>
      <c r="S9" s="3">
        <f>LOG10(H9)+J9*3</f>
        <v/>
      </c>
      <c r="T9" s="3">
        <f>LOG10(H9)+J9*6</f>
        <v/>
      </c>
    </row>
    <row r="10">
      <c r="A10" s="2" t="inlineStr">
        <is>
          <t>test1</t>
        </is>
      </c>
      <c r="B10" s="2" t="inlineStr">
        <is>
          <t>table1</t>
        </is>
      </c>
      <c r="C10" s="2" t="inlineStr">
        <is>
          <t>PEO</t>
        </is>
      </c>
      <c r="D10" s="2" t="inlineStr">
        <is>
          <t>poly(ethylene oxide)</t>
        </is>
      </c>
      <c r="E10" s="2" t="inlineStr">
        <is>
          <t>THF-d8</t>
        </is>
      </c>
      <c r="F10" s="2" t="inlineStr">
        <is>
          <t>tetrahydrofuran-d8</t>
        </is>
      </c>
      <c r="G10" s="3" t="n">
        <v>298.15</v>
      </c>
      <c r="H10" s="3" t="n">
        <v>0.02417</v>
      </c>
      <c r="I10" s="2" t="inlineStr">
        <is>
          <t>none</t>
        </is>
      </c>
      <c r="J10" s="3" t="n">
        <v>0.6831</v>
      </c>
      <c r="K10" s="2" t="inlineStr">
        <is>
          <t>none</t>
        </is>
      </c>
      <c r="L10" s="2" t="inlineStr">
        <is>
          <t>None</t>
        </is>
      </c>
      <c r="N10" s="2" t="inlineStr">
        <is>
          <t>dichloromethane</t>
        </is>
      </c>
      <c r="O10" s="2" t="inlineStr">
        <is>
          <t>poly(methyl methacrylate)</t>
        </is>
      </c>
      <c r="P10" s="3" t="n">
        <v>1</v>
      </c>
      <c r="R10" s="2" t="inlineStr">
        <is>
          <t>poly(ethylene oxide) in tetrahydrofuran-d8 (test1)</t>
        </is>
      </c>
      <c r="S10" s="3">
        <f>LOG10(H10)+J10*3</f>
        <v/>
      </c>
      <c r="T10" s="3">
        <f>LOG10(H10)+J10*6</f>
        <v/>
      </c>
    </row>
    <row r="11">
      <c r="A11" s="2" t="inlineStr">
        <is>
          <t>test1</t>
        </is>
      </c>
      <c r="B11" s="2" t="inlineStr">
        <is>
          <t>table1</t>
        </is>
      </c>
      <c r="C11" s="2" t="inlineStr">
        <is>
          <t>PEO</t>
        </is>
      </c>
      <c r="D11" s="2" t="inlineStr">
        <is>
          <t>poly(ethylene oxide)</t>
        </is>
      </c>
      <c r="E11" s="2" t="inlineStr">
        <is>
          <t>CD3CN</t>
        </is>
      </c>
      <c r="F11" s="2" t="inlineStr">
        <is>
          <t>acetonitrile-d3</t>
        </is>
      </c>
      <c r="G11" s="3" t="n">
        <v>298.15</v>
      </c>
      <c r="H11" s="3" t="n">
        <v>0.02456</v>
      </c>
      <c r="I11" s="2" t="inlineStr">
        <is>
          <t>none</t>
        </is>
      </c>
      <c r="J11" s="3" t="n">
        <v>0.68948</v>
      </c>
      <c r="K11" s="2" t="inlineStr">
        <is>
          <t>none</t>
        </is>
      </c>
      <c r="L11" s="2" t="inlineStr">
        <is>
          <t>None</t>
        </is>
      </c>
      <c r="N11" s="2" t="inlineStr">
        <is>
          <t>dichloromethane</t>
        </is>
      </c>
      <c r="O11" s="2" t="inlineStr">
        <is>
          <t>polystyrene</t>
        </is>
      </c>
      <c r="P11" s="3" t="n">
        <v>1</v>
      </c>
      <c r="R11" s="2" t="inlineStr">
        <is>
          <t>poly(ethylene oxide) in acetonitrile-d3 (test1)</t>
        </is>
      </c>
      <c r="S11" s="3">
        <f>LOG10(H11)+J11*3</f>
        <v/>
      </c>
      <c r="T11" s="3">
        <f>LOG10(H11)+J11*6</f>
        <v/>
      </c>
    </row>
    <row r="12">
      <c r="A12" s="2" t="inlineStr">
        <is>
          <t>test1</t>
        </is>
      </c>
      <c r="B12" s="2" t="inlineStr">
        <is>
          <t>table1</t>
        </is>
      </c>
      <c r="C12" s="2" t="inlineStr">
        <is>
          <t>PEO</t>
        </is>
      </c>
      <c r="D12" s="2" t="inlineStr">
        <is>
          <t>poly(ethylene oxide)</t>
        </is>
      </c>
      <c r="E12" s="2" t="inlineStr">
        <is>
          <t>acetone-d6</t>
        </is>
      </c>
      <c r="F12" s="2" t="inlineStr">
        <is>
          <t>acetone-d6</t>
        </is>
      </c>
      <c r="G12" s="3" t="n">
        <v>298.15</v>
      </c>
      <c r="H12" s="3" t="n">
        <v>0.06862</v>
      </c>
      <c r="I12" s="2" t="inlineStr">
        <is>
          <t>none</t>
        </is>
      </c>
      <c r="J12" s="3" t="n">
        <v>0.56535</v>
      </c>
      <c r="K12" s="2" t="inlineStr">
        <is>
          <t>none</t>
        </is>
      </c>
      <c r="L12" s="2" t="inlineStr">
        <is>
          <t>None</t>
        </is>
      </c>
      <c r="N12" s="2" t="inlineStr">
        <is>
          <t>dimethyl sulfoxide</t>
        </is>
      </c>
      <c r="O12" s="2" t="inlineStr">
        <is>
          <t>poly(methyl methacrylate)</t>
        </is>
      </c>
      <c r="P12" s="3" t="n">
        <v>1</v>
      </c>
      <c r="R12" s="2" t="inlineStr">
        <is>
          <t>poly(ethylene oxide) in acetone-d6 (test1)</t>
        </is>
      </c>
      <c r="S12" s="3">
        <f>LOG10(H12)+J12*3</f>
        <v/>
      </c>
      <c r="T12" s="3">
        <f>LOG10(H12)+J12*6</f>
        <v/>
      </c>
    </row>
    <row r="13">
      <c r="A13" s="2" t="inlineStr">
        <is>
          <t>test1</t>
        </is>
      </c>
      <c r="B13" s="2" t="inlineStr">
        <is>
          <t>table1</t>
        </is>
      </c>
      <c r="C13" s="2" t="inlineStr">
        <is>
          <t>PMMA</t>
        </is>
      </c>
      <c r="D13" s="2" t="inlineStr">
        <is>
          <t>poly(methyl methacrylate)</t>
        </is>
      </c>
      <c r="E13" s="2" t="inlineStr">
        <is>
          <t>THF-d8</t>
        </is>
      </c>
      <c r="F13" s="2" t="inlineStr">
        <is>
          <t>tetrahydrofuran-d8</t>
        </is>
      </c>
      <c r="G13" s="3" t="n">
        <v>298.15</v>
      </c>
      <c r="H13" s="3" t="n">
        <v>0.01061</v>
      </c>
      <c r="I13" s="2" t="inlineStr">
        <is>
          <t>none</t>
        </is>
      </c>
      <c r="J13" s="3" t="n">
        <v>0.69474</v>
      </c>
      <c r="K13" s="2" t="inlineStr">
        <is>
          <t>none</t>
        </is>
      </c>
      <c r="L13" s="2" t="inlineStr">
        <is>
          <t>None</t>
        </is>
      </c>
      <c r="N13" s="2" t="inlineStr">
        <is>
          <t>methanol-d4</t>
        </is>
      </c>
      <c r="O13" s="2" t="inlineStr">
        <is>
          <t>poly(ethylene oxide)</t>
        </is>
      </c>
      <c r="P13" s="3" t="n">
        <v>1</v>
      </c>
      <c r="R13" s="2" t="inlineStr">
        <is>
          <t>poly(methyl methacrylate) in tetrahydrofuran-d8 (test1)</t>
        </is>
      </c>
      <c r="S13" s="3">
        <f>LOG10(H13)+J13*3</f>
        <v/>
      </c>
      <c r="T13" s="3">
        <f>LOG10(H13)+J13*6</f>
        <v/>
      </c>
    </row>
    <row r="14">
      <c r="A14" s="2" t="inlineStr">
        <is>
          <t>test1</t>
        </is>
      </c>
      <c r="B14" s="2" t="inlineStr">
        <is>
          <t>table1</t>
        </is>
      </c>
      <c r="C14" s="2" t="inlineStr">
        <is>
          <t>PMMA</t>
        </is>
      </c>
      <c r="D14" s="2" t="inlineStr">
        <is>
          <t>poly(methyl methacrylate)</t>
        </is>
      </c>
      <c r="E14" s="2" t="inlineStr">
        <is>
          <t>CDCl3</t>
        </is>
      </c>
      <c r="F14" s="2" t="inlineStr">
        <is>
          <t>chloroform-d</t>
        </is>
      </c>
      <c r="G14" s="3" t="n">
        <v>298.15</v>
      </c>
      <c r="H14" s="3" t="n">
        <v>0.00517</v>
      </c>
      <c r="I14" s="2" t="inlineStr">
        <is>
          <t>none</t>
        </is>
      </c>
      <c r="J14" s="3" t="n">
        <v>0.77158</v>
      </c>
      <c r="K14" s="2" t="inlineStr">
        <is>
          <t>none</t>
        </is>
      </c>
      <c r="L14" s="2" t="inlineStr">
        <is>
          <t>None</t>
        </is>
      </c>
      <c r="N14" s="2" t="inlineStr">
        <is>
          <t>tetrahydrofuran-d8</t>
        </is>
      </c>
      <c r="O14" s="2" t="inlineStr">
        <is>
          <t>poly(ethylene oxide)</t>
        </is>
      </c>
      <c r="P14" s="3" t="n">
        <v>1</v>
      </c>
      <c r="R14" s="2" t="inlineStr">
        <is>
          <t>poly(methyl methacrylate) in chloroform-d (test1)</t>
        </is>
      </c>
      <c r="S14" s="3">
        <f>LOG10(H14)+J14*3</f>
        <v/>
      </c>
      <c r="T14" s="3">
        <f>LOG10(H14)+J14*6</f>
        <v/>
      </c>
    </row>
    <row r="15">
      <c r="A15" s="2" t="inlineStr">
        <is>
          <t>test1</t>
        </is>
      </c>
      <c r="B15" s="2" t="inlineStr">
        <is>
          <t>table1</t>
        </is>
      </c>
      <c r="C15" s="2" t="inlineStr">
        <is>
          <t>PMMA</t>
        </is>
      </c>
      <c r="D15" s="2" t="inlineStr">
        <is>
          <t>poly(methyl methacrylate)</t>
        </is>
      </c>
      <c r="E15" s="2" t="inlineStr">
        <is>
          <t>C6D6</t>
        </is>
      </c>
      <c r="F15" s="2" t="inlineStr">
        <is>
          <t>benzene-d6</t>
        </is>
      </c>
      <c r="G15" s="3" t="n">
        <v>298.15</v>
      </c>
      <c r="H15" s="3" t="n">
        <v>0.00848</v>
      </c>
      <c r="I15" s="2" t="inlineStr">
        <is>
          <t>none</t>
        </is>
      </c>
      <c r="J15" s="3" t="n">
        <v>0.7331</v>
      </c>
      <c r="K15" s="2" t="inlineStr">
        <is>
          <t>none</t>
        </is>
      </c>
      <c r="L15" s="2" t="inlineStr">
        <is>
          <t>None</t>
        </is>
      </c>
      <c r="N15" s="2" t="inlineStr">
        <is>
          <t>tetrahydrofuran-d8</t>
        </is>
      </c>
      <c r="O15" s="2" t="inlineStr">
        <is>
          <t>poly(methyl methacrylate)</t>
        </is>
      </c>
      <c r="P15" s="3" t="n">
        <v>1</v>
      </c>
      <c r="R15" s="2" t="inlineStr">
        <is>
          <t>poly(methyl methacrylate) in benzene-d6 (test1)</t>
        </is>
      </c>
      <c r="S15" s="3">
        <f>LOG10(H15)+J15*3</f>
        <v/>
      </c>
      <c r="T15" s="3">
        <f>LOG10(H15)+J15*6</f>
        <v/>
      </c>
    </row>
    <row r="16">
      <c r="A16" s="2" t="inlineStr">
        <is>
          <t>test1</t>
        </is>
      </c>
      <c r="B16" s="2" t="inlineStr">
        <is>
          <t>table1</t>
        </is>
      </c>
      <c r="C16" s="2" t="inlineStr">
        <is>
          <t>PMMA</t>
        </is>
      </c>
      <c r="D16" s="2" t="inlineStr">
        <is>
          <t>poly(methyl methacrylate)</t>
        </is>
      </c>
      <c r="E16" s="2" t="inlineStr">
        <is>
          <t>CD2Cl2</t>
        </is>
      </c>
      <c r="F16" s="2" t="inlineStr">
        <is>
          <t>dichloromethane</t>
        </is>
      </c>
      <c r="G16" s="3" t="n">
        <v>298.15</v>
      </c>
      <c r="H16" s="3" t="n">
        <v>0.00702</v>
      </c>
      <c r="I16" s="2" t="inlineStr">
        <is>
          <t>none</t>
        </is>
      </c>
      <c r="J16" s="3" t="n">
        <v>0.75226</v>
      </c>
      <c r="K16" s="2" t="inlineStr">
        <is>
          <t>none</t>
        </is>
      </c>
      <c r="L16" s="2" t="inlineStr">
        <is>
          <t>None</t>
        </is>
      </c>
      <c r="N16" s="2" t="inlineStr">
        <is>
          <t>tetrahydrofuran-d8</t>
        </is>
      </c>
      <c r="O16" s="2" t="inlineStr">
        <is>
          <t>polystyrene</t>
        </is>
      </c>
      <c r="P16" s="3" t="n">
        <v>1</v>
      </c>
      <c r="R16" s="2" t="inlineStr">
        <is>
          <t>poly(methyl methacrylate) in dichloromethane (test1)</t>
        </is>
      </c>
      <c r="S16" s="3">
        <f>LOG10(H16)+J16*3</f>
        <v/>
      </c>
      <c r="T16" s="3">
        <f>LOG10(H16)+J16*6</f>
        <v/>
      </c>
    </row>
    <row r="17">
      <c r="A17" s="2" t="inlineStr">
        <is>
          <t>test1</t>
        </is>
      </c>
      <c r="B17" s="2" t="inlineStr">
        <is>
          <t>table1</t>
        </is>
      </c>
      <c r="C17" s="2" t="inlineStr">
        <is>
          <t>PMMA</t>
        </is>
      </c>
      <c r="D17" s="2" t="inlineStr">
        <is>
          <t>poly(methyl methacrylate)</t>
        </is>
      </c>
      <c r="E17" s="2" t="inlineStr">
        <is>
          <t>DMSO</t>
        </is>
      </c>
      <c r="F17" s="2" t="inlineStr">
        <is>
          <t>dimethyl sulfoxide</t>
        </is>
      </c>
      <c r="G17" s="3" t="n">
        <v>298.15</v>
      </c>
      <c r="H17" s="3" t="n">
        <v>0.05265</v>
      </c>
      <c r="I17" s="2" t="inlineStr">
        <is>
          <t>none</t>
        </is>
      </c>
      <c r="J17" s="3" t="n">
        <v>0.47463</v>
      </c>
      <c r="K17" s="2" t="inlineStr">
        <is>
          <t>none</t>
        </is>
      </c>
      <c r="L17" s="2" t="inlineStr">
        <is>
          <t>None</t>
        </is>
      </c>
      <c r="N17" s="2" t="inlineStr">
        <is>
          <t>toluene-d8</t>
        </is>
      </c>
      <c r="O17" s="2" t="inlineStr">
        <is>
          <t>polystyrene</t>
        </is>
      </c>
      <c r="P17" s="3" t="n">
        <v>1</v>
      </c>
      <c r="R17" s="2" t="inlineStr">
        <is>
          <t>poly(methyl methacrylate) in dimethyl sulfoxide (test1)</t>
        </is>
      </c>
      <c r="S17" s="3">
        <f>LOG10(H17)+J17*3</f>
        <v/>
      </c>
      <c r="T17" s="3">
        <f>LOG10(H17)+J17*6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4" customWidth="1" min="3" max="3"/>
    <col width="82" customWidth="1" min="4" max="4"/>
    <col width="21" customWidth="1" min="5" max="5"/>
    <col width="21" customWidth="1" min="6" max="6"/>
    <col width="18" customWidth="1" min="7" max="7"/>
    <col width="25" customWidth="1" min="8" max="8"/>
    <col width="24" customWidth="1" min="9" max="9"/>
    <col width="29" customWidth="1" min="10" max="10"/>
    <col width="19" customWidth="1" min="11" max="11"/>
    <col width="15" customWidth="1" min="12" max="12"/>
    <col width="12" customWidth="1" min="13" max="13"/>
    <col width="21" customWidth="1" min="14" max="14"/>
    <col width="82" customWidth="1" min="15" max="15"/>
    <col width="12" customWidth="1" min="16" max="16"/>
    <col width="12" customWidth="1" min="17" max="17"/>
    <col width="104" customWidth="1" min="18" max="18"/>
    <col width="13" customWidth="1" min="19" max="19"/>
    <col width="13" customWidth="1" min="20" max="20"/>
  </cols>
  <sheetData>
    <row r="1">
      <c r="A1" s="1" t="inlineStr">
        <is>
          <t>Source Paper</t>
        </is>
      </c>
      <c r="B1" s="1" t="inlineStr">
        <is>
          <t>Table</t>
        </is>
      </c>
      <c r="C1" s="1" t="inlineStr">
        <is>
          <t>Polymer (Original)</t>
        </is>
      </c>
      <c r="D1" s="1" t="inlineStr">
        <is>
          <t>Polymer (Clean)</t>
        </is>
      </c>
      <c r="E1" s="1" t="inlineStr">
        <is>
          <t>Solvent (Original)</t>
        </is>
      </c>
      <c r="F1" s="1" t="inlineStr">
        <is>
          <t>Solvent (Clean)</t>
        </is>
      </c>
      <c r="G1" s="1" t="inlineStr">
        <is>
          <t>Temperature (K)</t>
        </is>
      </c>
      <c r="H1" s="1" t="inlineStr">
        <is>
          <t>c Value (log Constant)</t>
        </is>
      </c>
      <c r="I1" s="1" t="inlineStr">
        <is>
          <t>c Transformation</t>
        </is>
      </c>
      <c r="J1" s="1" t="inlineStr">
        <is>
          <t>v Value (Scaling Exponent)</t>
        </is>
      </c>
      <c r="K1" s="1" t="inlineStr">
        <is>
          <t>v Transformation</t>
        </is>
      </c>
      <c r="L1" s="1" t="inlineStr">
        <is>
          <t>Failed Field</t>
        </is>
      </c>
      <c r="N1" s="1" t="inlineStr">
        <is>
          <t>Solvent</t>
        </is>
      </c>
      <c r="O1" s="1" t="inlineStr">
        <is>
          <t>Polymer</t>
        </is>
      </c>
      <c r="P1" s="1" t="inlineStr">
        <is>
          <t>Count</t>
        </is>
      </c>
      <c r="R1" s="1" t="inlineStr">
        <is>
          <t>Series</t>
        </is>
      </c>
      <c r="S1" s="1" t="n">
        <v>3</v>
      </c>
      <c r="T1" s="1" t="n">
        <v>6</v>
      </c>
    </row>
    <row r="2">
      <c r="A2" s="2" t="inlineStr">
        <is>
          <t>test1</t>
        </is>
      </c>
      <c r="B2" s="2" t="inlineStr">
        <is>
          <t>table1</t>
        </is>
      </c>
      <c r="C2" s="2" t="inlineStr">
        <is>
          <t>PS</t>
        </is>
      </c>
      <c r="D2" s="2" t="inlineStr">
        <is>
          <t>polystyrene</t>
        </is>
      </c>
      <c r="E2" s="2" t="inlineStr">
        <is>
          <t>THF-d8</t>
        </is>
      </c>
      <c r="F2" s="2" t="inlineStr">
        <is>
          <t>tetrahydrofuran-d8</t>
        </is>
      </c>
      <c r="G2" s="3" t="n"/>
      <c r="H2" s="3" t="n">
        <v>-7.655839673984551</v>
      </c>
      <c r="I2" s="2" t="inlineStr">
        <is>
          <t>linear to log10</t>
        </is>
      </c>
      <c r="J2" s="3" t="n">
        <v>0.519361</v>
      </c>
      <c r="K2" s="2" t="inlineStr">
        <is>
          <t>none</t>
        </is>
      </c>
      <c r="L2" s="2" t="inlineStr">
        <is>
          <t>None</t>
        </is>
      </c>
      <c r="N2" s="2" t="inlineStr">
        <is>
          <t>acetone</t>
        </is>
      </c>
      <c r="O2" s="2" t="inlineStr">
        <is>
          <t>poly(butyl acrylate)</t>
        </is>
      </c>
      <c r="P2" s="3" t="n">
        <v>1</v>
      </c>
      <c r="R2" s="2" t="inlineStr">
        <is>
          <t>polystyrene in tetrahydrofuran-d8 (test1)</t>
        </is>
      </c>
      <c r="S2" s="3">
        <f>H2-J2*3</f>
        <v/>
      </c>
      <c r="T2" s="3">
        <f>H2-J2*6</f>
        <v/>
      </c>
    </row>
    <row r="3">
      <c r="A3" s="2" t="inlineStr">
        <is>
          <t>test1</t>
        </is>
      </c>
      <c r="B3" s="2" t="inlineStr">
        <is>
          <t>table1</t>
        </is>
      </c>
      <c r="C3" s="2" t="inlineStr">
        <is>
          <t>PS</t>
        </is>
      </c>
      <c r="D3" s="2" t="inlineStr">
        <is>
          <t>polystyrene</t>
        </is>
      </c>
      <c r="E3" s="2" t="inlineStr">
        <is>
          <t>CDCl3</t>
        </is>
      </c>
      <c r="F3" s="2" t="inlineStr">
        <is>
          <t>chloroform-d</t>
        </is>
      </c>
      <c r="G3" s="3" t="n"/>
      <c r="H3" s="3" t="n">
        <v>-7.630222150689829</v>
      </c>
      <c r="I3" s="2" t="inlineStr">
        <is>
          <t>linear to log10</t>
        </is>
      </c>
      <c r="J3" s="3" t="n">
        <v>0.534677</v>
      </c>
      <c r="K3" s="2" t="inlineStr">
        <is>
          <t>none</t>
        </is>
      </c>
      <c r="L3" s="2" t="inlineStr">
        <is>
          <t>None</t>
        </is>
      </c>
      <c r="N3" s="2" t="inlineStr">
        <is>
          <t>acetone</t>
        </is>
      </c>
      <c r="O3" s="2" t="inlineStr">
        <is>
          <t>poly(ethylene glycol) methyl ether acrylate</t>
        </is>
      </c>
      <c r="P3" s="3" t="n">
        <v>1</v>
      </c>
      <c r="R3" s="2" t="inlineStr">
        <is>
          <t>polystyrene in chloroform-d (test1)</t>
        </is>
      </c>
      <c r="S3" s="3">
        <f>H3-J3*3</f>
        <v/>
      </c>
      <c r="T3" s="3">
        <f>H3-J3*6</f>
        <v/>
      </c>
    </row>
    <row r="4">
      <c r="A4" s="2" t="inlineStr">
        <is>
          <t>test1</t>
        </is>
      </c>
      <c r="B4" s="2" t="inlineStr">
        <is>
          <t>table1</t>
        </is>
      </c>
      <c r="C4" s="2" t="inlineStr">
        <is>
          <t>PS</t>
        </is>
      </c>
      <c r="D4" s="2" t="inlineStr">
        <is>
          <t>polystyrene</t>
        </is>
      </c>
      <c r="E4" s="2" t="inlineStr">
        <is>
          <t>C6D6</t>
        </is>
      </c>
      <c r="F4" s="2" t="inlineStr">
        <is>
          <t>benzene-d6</t>
        </is>
      </c>
      <c r="G4" s="3" t="n"/>
      <c r="H4" s="3" t="n">
        <v>-7.718505297869414</v>
      </c>
      <c r="I4" s="2" t="inlineStr">
        <is>
          <t>linear to log10</t>
        </is>
      </c>
      <c r="J4" s="3" t="n">
        <v>0.5283</v>
      </c>
      <c r="K4" s="2" t="inlineStr">
        <is>
          <t>none</t>
        </is>
      </c>
      <c r="L4" s="2" t="inlineStr">
        <is>
          <t>None</t>
        </is>
      </c>
      <c r="N4" s="2" t="inlineStr">
        <is>
          <t>acetone</t>
        </is>
      </c>
      <c r="O4" s="2" t="inlineStr">
        <is>
          <t>poly(methyl methacrylate)</t>
        </is>
      </c>
      <c r="P4" s="3" t="n">
        <v>1</v>
      </c>
      <c r="R4" s="2" t="inlineStr">
        <is>
          <t>polystyrene in benzene-d6 (test1)</t>
        </is>
      </c>
      <c r="S4" s="3">
        <f>H4-J4*3</f>
        <v/>
      </c>
      <c r="T4" s="3">
        <f>H4-J4*6</f>
        <v/>
      </c>
    </row>
    <row r="5">
      <c r="A5" s="2" t="inlineStr">
        <is>
          <t>test1</t>
        </is>
      </c>
      <c r="B5" s="2" t="inlineStr">
        <is>
          <t>table1</t>
        </is>
      </c>
      <c r="C5" s="2" t="inlineStr">
        <is>
          <t>PS</t>
        </is>
      </c>
      <c r="D5" s="2" t="inlineStr">
        <is>
          <t>polystyrene</t>
        </is>
      </c>
      <c r="E5" s="2" t="inlineStr">
        <is>
          <t>toluene-d8</t>
        </is>
      </c>
      <c r="F5" s="2" t="inlineStr">
        <is>
          <t>toluene-d8</t>
        </is>
      </c>
      <c r="G5" s="3" t="n"/>
      <c r="H5" s="3" t="n">
        <v>-7.670077622607558</v>
      </c>
      <c r="I5" s="2" t="inlineStr">
        <is>
          <t>linear to log10</t>
        </is>
      </c>
      <c r="J5" s="3" t="n">
        <v>0.531065</v>
      </c>
      <c r="K5" s="2" t="inlineStr">
        <is>
          <t>none</t>
        </is>
      </c>
      <c r="L5" s="2" t="inlineStr">
        <is>
          <t>None</t>
        </is>
      </c>
      <c r="N5" s="2" t="inlineStr">
        <is>
          <t>acetone-d6</t>
        </is>
      </c>
      <c r="O5" s="2" t="inlineStr">
        <is>
          <t>poly(ethylene oxide)</t>
        </is>
      </c>
      <c r="P5" s="3" t="n">
        <v>2</v>
      </c>
      <c r="R5" s="2" t="inlineStr">
        <is>
          <t>polystyrene in toluene-d8 (test1)</t>
        </is>
      </c>
      <c r="S5" s="3">
        <f>H5-J5*3</f>
        <v/>
      </c>
      <c r="T5" s="3">
        <f>H5-J5*6</f>
        <v/>
      </c>
    </row>
    <row r="6">
      <c r="A6" s="2" t="inlineStr">
        <is>
          <t>test1</t>
        </is>
      </c>
      <c r="B6" s="2" t="inlineStr">
        <is>
          <t>table1</t>
        </is>
      </c>
      <c r="C6" s="2" t="inlineStr">
        <is>
          <t>PS</t>
        </is>
      </c>
      <c r="D6" s="2" t="inlineStr">
        <is>
          <t>polystyrene</t>
        </is>
      </c>
      <c r="E6" s="2" t="inlineStr">
        <is>
          <t>CD2Cl2</t>
        </is>
      </c>
      <c r="F6" s="2" t="inlineStr">
        <is>
          <t>dichloromethane</t>
        </is>
      </c>
      <c r="G6" s="3" t="n"/>
      <c r="H6" s="3" t="n">
        <v>-7.56166654250548</v>
      </c>
      <c r="I6" s="2" t="inlineStr">
        <is>
          <t>linear to log10</t>
        </is>
      </c>
      <c r="J6" s="3" t="n">
        <v>0.5214530000000001</v>
      </c>
      <c r="K6" s="2" t="inlineStr">
        <is>
          <t>none</t>
        </is>
      </c>
      <c r="L6" s="2" t="inlineStr">
        <is>
          <t>None</t>
        </is>
      </c>
      <c r="N6" s="2" t="inlineStr">
        <is>
          <t>acetone-d6</t>
        </is>
      </c>
      <c r="O6" s="2" t="inlineStr">
        <is>
          <t>poly(methyl methacrylate-block-poly(ethylene glycol) methyl ether methacrylate)</t>
        </is>
      </c>
      <c r="P6" s="3" t="n">
        <v>1</v>
      </c>
      <c r="R6" s="2" t="inlineStr">
        <is>
          <t>polystyrene in dichloromethane (test1)</t>
        </is>
      </c>
      <c r="S6" s="3">
        <f>H6-J6*3</f>
        <v/>
      </c>
      <c r="T6" s="3">
        <f>H6-J6*6</f>
        <v/>
      </c>
    </row>
    <row r="7">
      <c r="A7" s="2" t="inlineStr">
        <is>
          <t>test1</t>
        </is>
      </c>
      <c r="B7" s="2" t="inlineStr">
        <is>
          <t>table1</t>
        </is>
      </c>
      <c r="C7" s="2" t="inlineStr">
        <is>
          <t>PS</t>
        </is>
      </c>
      <c r="D7" s="2" t="inlineStr">
        <is>
          <t>polystyrene</t>
        </is>
      </c>
      <c r="E7" s="2" t="inlineStr">
        <is>
          <t>acetone-d6</t>
        </is>
      </c>
      <c r="F7" s="2" t="inlineStr">
        <is>
          <t>acetone-d6</t>
        </is>
      </c>
      <c r="G7" s="3" t="n"/>
      <c r="H7" s="3" t="n">
        <v>-7.679147780168245</v>
      </c>
      <c r="I7" s="2" t="inlineStr">
        <is>
          <t>linear to log10</t>
        </is>
      </c>
      <c r="J7" s="3" t="n">
        <v>0.452089</v>
      </c>
      <c r="K7" s="2" t="inlineStr">
        <is>
          <t>none</t>
        </is>
      </c>
      <c r="L7" s="2" t="inlineStr">
        <is>
          <t>None</t>
        </is>
      </c>
      <c r="N7" s="2" t="inlineStr">
        <is>
          <t>acetone-d6</t>
        </is>
      </c>
      <c r="O7" s="2" t="inlineStr">
        <is>
          <t>polystyrene</t>
        </is>
      </c>
      <c r="P7" s="3" t="n">
        <v>2</v>
      </c>
      <c r="R7" s="2" t="inlineStr">
        <is>
          <t>polystyrene in acetone-d6 (test1)</t>
        </is>
      </c>
      <c r="S7" s="3">
        <f>H7-J7*3</f>
        <v/>
      </c>
      <c r="T7" s="3">
        <f>H7-J7*6</f>
        <v/>
      </c>
    </row>
    <row r="8">
      <c r="A8" s="2" t="inlineStr">
        <is>
          <t>test1</t>
        </is>
      </c>
      <c r="B8" s="2" t="inlineStr">
        <is>
          <t>table1</t>
        </is>
      </c>
      <c r="C8" s="2" t="inlineStr">
        <is>
          <t>PEO</t>
        </is>
      </c>
      <c r="D8" s="2" t="inlineStr">
        <is>
          <t>poly(ethylene oxide)</t>
        </is>
      </c>
      <c r="E8" s="2" t="inlineStr">
        <is>
          <t>CD3OD</t>
        </is>
      </c>
      <c r="F8" s="2" t="inlineStr">
        <is>
          <t>methanol-d4</t>
        </is>
      </c>
      <c r="G8" s="3" t="n"/>
      <c r="H8" s="3" t="n">
        <v>-7.843617451027789</v>
      </c>
      <c r="I8" s="2" t="inlineStr">
        <is>
          <t>linear to log10</t>
        </is>
      </c>
      <c r="J8" s="3" t="n">
        <v>0.504105</v>
      </c>
      <c r="K8" s="2" t="inlineStr">
        <is>
          <t>none</t>
        </is>
      </c>
      <c r="L8" s="2" t="inlineStr">
        <is>
          <t>None</t>
        </is>
      </c>
      <c r="N8" s="2" t="inlineStr">
        <is>
          <t>acetonitrile-d3</t>
        </is>
      </c>
      <c r="O8" s="2" t="inlineStr">
        <is>
          <t>poly(ethylene oxide)</t>
        </is>
      </c>
      <c r="P8" s="3" t="n">
        <v>2</v>
      </c>
      <c r="R8" s="2" t="inlineStr">
        <is>
          <t>poly(ethylene oxide) in methanol-d4 (test1)</t>
        </is>
      </c>
      <c r="S8" s="3">
        <f>H8-J8*3</f>
        <v/>
      </c>
      <c r="T8" s="3">
        <f>H8-J8*6</f>
        <v/>
      </c>
    </row>
    <row r="9">
      <c r="A9" s="2" t="inlineStr">
        <is>
          <t>test1</t>
        </is>
      </c>
      <c r="B9" s="2" t="inlineStr">
        <is>
          <t>table1</t>
        </is>
      </c>
      <c r="C9" s="2" t="inlineStr">
        <is>
          <t>PEO</t>
        </is>
      </c>
      <c r="D9" s="2" t="inlineStr">
        <is>
          <t>poly(ethylene oxide)</t>
        </is>
      </c>
      <c r="E9" s="2" t="inlineStr">
        <is>
          <t>D2O</t>
        </is>
      </c>
      <c r="F9" s="2" t="inlineStr">
        <is>
          <t>deuterium oxide</t>
        </is>
      </c>
      <c r="G9" s="3" t="n"/>
      <c r="H9" s="3" t="n">
        <v>-8.101177771017927</v>
      </c>
      <c r="I9" s="2" t="inlineStr">
        <is>
          <t>linear to log10</t>
        </is>
      </c>
      <c r="J9" s="3" t="n">
        <v>0.512155</v>
      </c>
      <c r="K9" s="2" t="inlineStr">
        <is>
          <t>none</t>
        </is>
      </c>
      <c r="L9" s="2" t="inlineStr">
        <is>
          <t>None</t>
        </is>
      </c>
      <c r="N9" s="2" t="inlineStr">
        <is>
          <t>benzene</t>
        </is>
      </c>
      <c r="O9" s="2" t="inlineStr">
        <is>
          <t>poly(butyl acrylate)</t>
        </is>
      </c>
      <c r="P9" s="3" t="n">
        <v>1</v>
      </c>
      <c r="R9" s="2" t="inlineStr">
        <is>
          <t>poly(ethylene oxide) in deuterium oxide (test1)</t>
        </is>
      </c>
      <c r="S9" s="3">
        <f>H9-J9*3</f>
        <v/>
      </c>
      <c r="T9" s="3">
        <f>H9-J9*6</f>
        <v/>
      </c>
    </row>
    <row r="10">
      <c r="A10" s="2" t="inlineStr">
        <is>
          <t>test1</t>
        </is>
      </c>
      <c r="B10" s="2" t="inlineStr">
        <is>
          <t>table1</t>
        </is>
      </c>
      <c r="C10" s="2" t="inlineStr">
        <is>
          <t>PEO</t>
        </is>
      </c>
      <c r="D10" s="2" t="inlineStr">
        <is>
          <t>poly(ethylene oxide)</t>
        </is>
      </c>
      <c r="E10" s="2" t="inlineStr">
        <is>
          <t>THF-d8</t>
        </is>
      </c>
      <c r="F10" s="2" t="inlineStr">
        <is>
          <t>tetrahydrofuran-d8</t>
        </is>
      </c>
      <c r="G10" s="3" t="n"/>
      <c r="H10" s="3" t="n">
        <v>-7.733838887780599</v>
      </c>
      <c r="I10" s="2" t="inlineStr">
        <is>
          <t>linear to log10</t>
        </is>
      </c>
      <c r="J10" s="3" t="n">
        <v>0.513725</v>
      </c>
      <c r="K10" s="2" t="inlineStr">
        <is>
          <t>none</t>
        </is>
      </c>
      <c r="L10" s="2" t="inlineStr">
        <is>
          <t>None</t>
        </is>
      </c>
      <c r="N10" s="2" t="inlineStr">
        <is>
          <t>benzene</t>
        </is>
      </c>
      <c r="O10" s="2" t="inlineStr">
        <is>
          <t>poly(methyl methacrylate)</t>
        </is>
      </c>
      <c r="P10" s="3" t="n">
        <v>1</v>
      </c>
      <c r="R10" s="2" t="inlineStr">
        <is>
          <t>poly(ethylene oxide) in tetrahydrofuran-d8 (test1)</t>
        </is>
      </c>
      <c r="S10" s="3">
        <f>H10-J10*3</f>
        <v/>
      </c>
      <c r="T10" s="3">
        <f>H10-J10*6</f>
        <v/>
      </c>
    </row>
    <row r="11">
      <c r="A11" s="2" t="inlineStr">
        <is>
          <t>test1</t>
        </is>
      </c>
      <c r="B11" s="2" t="inlineStr">
        <is>
          <t>table1</t>
        </is>
      </c>
      <c r="C11" s="2" t="inlineStr">
        <is>
          <t>PEO</t>
        </is>
      </c>
      <c r="D11" s="2" t="inlineStr">
        <is>
          <t>poly(ethylene oxide)</t>
        </is>
      </c>
      <c r="E11" s="2" t="inlineStr">
        <is>
          <t>CD3CN</t>
        </is>
      </c>
      <c r="F11" s="2" t="inlineStr">
        <is>
          <t>acetonitrile-d3</t>
        </is>
      </c>
      <c r="G11" s="3" t="n"/>
      <c r="H11" s="3" t="n">
        <v>-7.590203777049215</v>
      </c>
      <c r="I11" s="2" t="inlineStr">
        <is>
          <t>linear to log10</t>
        </is>
      </c>
      <c r="J11" s="3" t="n">
        <v>0.515853</v>
      </c>
      <c r="K11" s="2" t="inlineStr">
        <is>
          <t>none</t>
        </is>
      </c>
      <c r="L11" s="2" t="inlineStr">
        <is>
          <t>None</t>
        </is>
      </c>
      <c r="N11" s="2" t="inlineStr">
        <is>
          <t>benzene</t>
        </is>
      </c>
      <c r="O11" s="2" t="inlineStr">
        <is>
          <t>polystyrene</t>
        </is>
      </c>
      <c r="P11" s="3" t="n">
        <v>1</v>
      </c>
      <c r="R11" s="2" t="inlineStr">
        <is>
          <t>poly(ethylene oxide) in acetonitrile-d3 (test1)</t>
        </is>
      </c>
      <c r="S11" s="3">
        <f>H11-J11*3</f>
        <v/>
      </c>
      <c r="T11" s="3">
        <f>H11-J11*6</f>
        <v/>
      </c>
    </row>
    <row r="12">
      <c r="A12" s="2" t="inlineStr">
        <is>
          <t>test1</t>
        </is>
      </c>
      <c r="B12" s="2" t="inlineStr">
        <is>
          <t>table1</t>
        </is>
      </c>
      <c r="C12" s="2" t="inlineStr">
        <is>
          <t>PEO</t>
        </is>
      </c>
      <c r="D12" s="2" t="inlineStr">
        <is>
          <t>poly(ethylene oxide)</t>
        </is>
      </c>
      <c r="E12" s="2" t="inlineStr">
        <is>
          <t>acetone-d6</t>
        </is>
      </c>
      <c r="F12" s="2" t="inlineStr">
        <is>
          <t>acetone-d6</t>
        </is>
      </c>
      <c r="G12" s="3" t="n"/>
      <c r="H12" s="3" t="n">
        <v>-7.673502333065918</v>
      </c>
      <c r="I12" s="2" t="inlineStr">
        <is>
          <t>linear to log10</t>
        </is>
      </c>
      <c r="J12" s="3" t="n">
        <v>0.474477</v>
      </c>
      <c r="K12" s="2" t="inlineStr">
        <is>
          <t>none</t>
        </is>
      </c>
      <c r="L12" s="2" t="inlineStr">
        <is>
          <t>None</t>
        </is>
      </c>
      <c r="N12" s="2" t="inlineStr">
        <is>
          <t>benzene-d6</t>
        </is>
      </c>
      <c r="O12" s="2" t="inlineStr">
        <is>
          <t>poly(methyl methacrylate)</t>
        </is>
      </c>
      <c r="P12" s="3" t="n">
        <v>1</v>
      </c>
      <c r="R12" s="2" t="inlineStr">
        <is>
          <t>poly(ethylene oxide) in acetone-d6 (test1)</t>
        </is>
      </c>
      <c r="S12" s="3">
        <f>H12-J12*3</f>
        <v/>
      </c>
      <c r="T12" s="3">
        <f>H12-J12*6</f>
        <v/>
      </c>
    </row>
    <row r="13">
      <c r="A13" s="2" t="inlineStr">
        <is>
          <t>test1</t>
        </is>
      </c>
      <c r="B13" s="2" t="inlineStr">
        <is>
          <t>table1</t>
        </is>
      </c>
      <c r="C13" s="2" t="inlineStr">
        <is>
          <t>PMMA</t>
        </is>
      </c>
      <c r="D13" s="2" t="inlineStr">
        <is>
          <t>poly(methyl methacrylate)</t>
        </is>
      </c>
      <c r="E13" s="2" t="inlineStr">
        <is>
          <t>THF-d8</t>
        </is>
      </c>
      <c r="F13" s="2" t="inlineStr">
        <is>
          <t>tetrahydrofuran-d8</t>
        </is>
      </c>
      <c r="G13" s="3" t="n"/>
      <c r="H13" s="3" t="n">
        <v>-7.61465473895388</v>
      </c>
      <c r="I13" s="2" t="inlineStr">
        <is>
          <t>linear to log10</t>
        </is>
      </c>
      <c r="J13" s="3" t="n">
        <v>0.517608</v>
      </c>
      <c r="K13" s="2" t="inlineStr">
        <is>
          <t>none</t>
        </is>
      </c>
      <c r="L13" s="2" t="inlineStr">
        <is>
          <t>None</t>
        </is>
      </c>
      <c r="N13" s="2" t="inlineStr">
        <is>
          <t>benzene-d6</t>
        </is>
      </c>
      <c r="O13" s="2" t="inlineStr">
        <is>
          <t>polystyrene</t>
        </is>
      </c>
      <c r="P13" s="3" t="n">
        <v>2</v>
      </c>
      <c r="R13" s="2" t="inlineStr">
        <is>
          <t>poly(methyl methacrylate) in tetrahydrofuran-d8 (test1)</t>
        </is>
      </c>
      <c r="S13" s="3">
        <f>H13-J13*3</f>
        <v/>
      </c>
      <c r="T13" s="3">
        <f>H13-J13*6</f>
        <v/>
      </c>
    </row>
    <row r="14">
      <c r="A14" s="2" t="inlineStr">
        <is>
          <t>test1</t>
        </is>
      </c>
      <c r="B14" s="2" t="inlineStr">
        <is>
          <t>table1</t>
        </is>
      </c>
      <c r="C14" s="2" t="inlineStr">
        <is>
          <t>PMMA</t>
        </is>
      </c>
      <c r="D14" s="2" t="inlineStr">
        <is>
          <t>poly(methyl methacrylate)</t>
        </is>
      </c>
      <c r="E14" s="2" t="inlineStr">
        <is>
          <t>CDCl3</t>
        </is>
      </c>
      <c r="F14" s="2" t="inlineStr">
        <is>
          <t>chloroform-d</t>
        </is>
      </c>
      <c r="G14" s="3" t="n"/>
      <c r="H14" s="3" t="n">
        <v>-7.579851091223765</v>
      </c>
      <c r="I14" s="2" t="inlineStr">
        <is>
          <t>linear to log10</t>
        </is>
      </c>
      <c r="J14" s="3" t="n">
        <v>0.543219</v>
      </c>
      <c r="K14" s="2" t="inlineStr">
        <is>
          <t>none</t>
        </is>
      </c>
      <c r="L14" s="2" t="inlineStr">
        <is>
          <t>None</t>
        </is>
      </c>
      <c r="N14" s="2" t="inlineStr">
        <is>
          <t>chloroform</t>
        </is>
      </c>
      <c r="O14" s="2" t="inlineStr">
        <is>
          <t>poly(butyl acrylate)</t>
        </is>
      </c>
      <c r="P14" s="3" t="n">
        <v>1</v>
      </c>
      <c r="R14" s="2" t="inlineStr">
        <is>
          <t>poly(methyl methacrylate) in chloroform-d (test1)</t>
        </is>
      </c>
      <c r="S14" s="3">
        <f>H14-J14*3</f>
        <v/>
      </c>
      <c r="T14" s="3">
        <f>H14-J14*6</f>
        <v/>
      </c>
    </row>
    <row r="15">
      <c r="A15" s="2" t="inlineStr">
        <is>
          <t>test1</t>
        </is>
      </c>
      <c r="B15" s="2" t="inlineStr">
        <is>
          <t>table1</t>
        </is>
      </c>
      <c r="C15" s="2" t="inlineStr">
        <is>
          <t>PMMA</t>
        </is>
      </c>
      <c r="D15" s="2" t="inlineStr">
        <is>
          <t>poly(methyl methacrylate)</t>
        </is>
      </c>
      <c r="E15" s="2" t="inlineStr">
        <is>
          <t>C6D6</t>
        </is>
      </c>
      <c r="F15" s="2" t="inlineStr">
        <is>
          <t>benzene-d6</t>
        </is>
      </c>
      <c r="G15" s="3" t="n"/>
      <c r="H15" s="3" t="n">
        <v>-7.683956229316216</v>
      </c>
      <c r="I15" s="2" t="inlineStr">
        <is>
          <t>linear to log10</t>
        </is>
      </c>
      <c r="J15" s="3" t="n">
        <v>0.530394</v>
      </c>
      <c r="K15" s="2" t="inlineStr">
        <is>
          <t>none</t>
        </is>
      </c>
      <c r="L15" s="2" t="inlineStr">
        <is>
          <t>None</t>
        </is>
      </c>
      <c r="N15" s="2" t="inlineStr">
        <is>
          <t>chloroform-d</t>
        </is>
      </c>
      <c r="O15" s="2" t="inlineStr">
        <is>
          <t>poly(ethylene oxide)</t>
        </is>
      </c>
      <c r="P15" s="3" t="n">
        <v>1</v>
      </c>
      <c r="R15" s="2" t="inlineStr">
        <is>
          <t>poly(methyl methacrylate) in benzene-d6 (test1)</t>
        </is>
      </c>
      <c r="S15" s="3">
        <f>H15-J15*3</f>
        <v/>
      </c>
      <c r="T15" s="3">
        <f>H15-J15*6</f>
        <v/>
      </c>
    </row>
    <row r="16">
      <c r="A16" s="2" t="inlineStr">
        <is>
          <t>test1</t>
        </is>
      </c>
      <c r="B16" s="2" t="inlineStr">
        <is>
          <t>table1</t>
        </is>
      </c>
      <c r="C16" s="2" t="inlineStr">
        <is>
          <t>PMMA</t>
        </is>
      </c>
      <c r="D16" s="2" t="inlineStr">
        <is>
          <t>poly(methyl methacrylate)</t>
        </is>
      </c>
      <c r="E16" s="2" t="inlineStr">
        <is>
          <t>CD2Cl2</t>
        </is>
      </c>
      <c r="F16" s="2" t="inlineStr">
        <is>
          <t>dichloromethane</t>
        </is>
      </c>
      <c r="G16" s="3" t="n"/>
      <c r="H16" s="3" t="n">
        <v>-7.48967889681907</v>
      </c>
      <c r="I16" s="2" t="inlineStr">
        <is>
          <t>linear to log10</t>
        </is>
      </c>
      <c r="J16" s="3" t="n">
        <v>0.53678</v>
      </c>
      <c r="K16" s="2" t="inlineStr">
        <is>
          <t>none</t>
        </is>
      </c>
      <c r="L16" s="2" t="inlineStr">
        <is>
          <t>None</t>
        </is>
      </c>
      <c r="N16" s="2" t="inlineStr">
        <is>
          <t>chloroform-d</t>
        </is>
      </c>
      <c r="O16" s="2" t="inlineStr">
        <is>
          <t>poly(methyl methacrylate)</t>
        </is>
      </c>
      <c r="P16" s="3" t="n">
        <v>1</v>
      </c>
      <c r="R16" s="2" t="inlineStr">
        <is>
          <t>poly(methyl methacrylate) in dichloromethane (test1)</t>
        </is>
      </c>
      <c r="S16" s="3">
        <f>H16-J16*3</f>
        <v/>
      </c>
      <c r="T16" s="3">
        <f>H16-J16*6</f>
        <v/>
      </c>
    </row>
    <row r="17">
      <c r="A17" s="2" t="inlineStr">
        <is>
          <t>test1</t>
        </is>
      </c>
      <c r="B17" s="2" t="inlineStr">
        <is>
          <t>table1</t>
        </is>
      </c>
      <c r="C17" s="2" t="inlineStr">
        <is>
          <t>PMMA</t>
        </is>
      </c>
      <c r="D17" s="2" t="inlineStr">
        <is>
          <t>poly(methyl methacrylate)</t>
        </is>
      </c>
      <c r="E17" s="2" t="inlineStr">
        <is>
          <t>DMSO</t>
        </is>
      </c>
      <c r="F17" s="2" t="inlineStr">
        <is>
          <t>dimethyl sulfoxide</t>
        </is>
      </c>
      <c r="G17" s="3" t="n"/>
      <c r="H17" s="3" t="n">
        <v>-8.505773029599105</v>
      </c>
      <c r="I17" s="2" t="inlineStr">
        <is>
          <t>linear to log10</t>
        </is>
      </c>
      <c r="J17" s="3" t="n">
        <v>0.444236</v>
      </c>
      <c r="K17" s="2" t="inlineStr">
        <is>
          <t>none</t>
        </is>
      </c>
      <c r="L17" s="2" t="inlineStr">
        <is>
          <t>None</t>
        </is>
      </c>
      <c r="N17" s="2" t="inlineStr">
        <is>
          <t>chloroform-d</t>
        </is>
      </c>
      <c r="O17" s="2" t="inlineStr">
        <is>
          <t>polystyrene</t>
        </is>
      </c>
      <c r="P17" s="3" t="n">
        <v>2</v>
      </c>
      <c r="R17" s="2" t="inlineStr">
        <is>
          <t>poly(methyl methacrylate) in dimethyl sulfoxide (test1)</t>
        </is>
      </c>
      <c r="S17" s="3">
        <f>H17-J17*3</f>
        <v/>
      </c>
      <c r="T17" s="3">
        <f>H17-J17*6</f>
        <v/>
      </c>
    </row>
    <row r="18">
      <c r="A18" s="2" t="inlineStr">
        <is>
          <t>test5</t>
        </is>
      </c>
      <c r="B18" s="2" t="inlineStr">
        <is>
          <t>table1</t>
        </is>
      </c>
      <c r="C18" s="2" t="inlineStr">
        <is>
          <t>PS</t>
        </is>
      </c>
      <c r="D18" s="2" t="inlineStr">
        <is>
          <t>polystyrene</t>
        </is>
      </c>
      <c r="E18" s="2" t="inlineStr">
        <is>
          <t>benzene</t>
        </is>
      </c>
      <c r="F18" s="2" t="inlineStr">
        <is>
          <t>benzene</t>
        </is>
      </c>
      <c r="G18" s="3" t="n"/>
      <c r="H18" s="3" t="n">
        <v>-7.7</v>
      </c>
      <c r="I18" s="2" t="inlineStr">
        <is>
          <t>corrected_minus_sign</t>
        </is>
      </c>
      <c r="J18" s="3" t="n">
        <v>0.54</v>
      </c>
      <c r="K18" s="2" t="inlineStr">
        <is>
          <t>none</t>
        </is>
      </c>
      <c r="L18" s="2" t="inlineStr">
        <is>
          <t>None</t>
        </is>
      </c>
      <c r="N18" s="2" t="inlineStr">
        <is>
          <t>deuterium oxide</t>
        </is>
      </c>
      <c r="O18" s="2" t="inlineStr">
        <is>
          <t>dextran</t>
        </is>
      </c>
      <c r="P18" s="3" t="n">
        <v>1</v>
      </c>
      <c r="R18" s="2" t="inlineStr">
        <is>
          <t>polystyrene in benzene (test5)</t>
        </is>
      </c>
      <c r="S18" s="3">
        <f>H18-J18*3</f>
        <v/>
      </c>
      <c r="T18" s="3">
        <f>H18-J18*6</f>
        <v/>
      </c>
    </row>
    <row r="19">
      <c r="A19" s="2" t="inlineStr">
        <is>
          <t>test5</t>
        </is>
      </c>
      <c r="B19" s="2" t="inlineStr">
        <is>
          <t>table1</t>
        </is>
      </c>
      <c r="C19" s="2" t="inlineStr">
        <is>
          <t>pMA</t>
        </is>
      </c>
      <c r="D19" s="2" t="inlineStr">
        <is>
          <t>poly(methyl methacrylate)</t>
        </is>
      </c>
      <c r="E19" s="2" t="inlineStr">
        <is>
          <t>toluene</t>
        </is>
      </c>
      <c r="F19" s="2" t="inlineStr">
        <is>
          <t>toluene</t>
        </is>
      </c>
      <c r="G19" s="3" t="n"/>
      <c r="H19" s="3" t="n">
        <v>-7.72</v>
      </c>
      <c r="I19" s="2" t="inlineStr">
        <is>
          <t>corrected_minus_sign</t>
        </is>
      </c>
      <c r="J19" s="3" t="n">
        <v>0.5</v>
      </c>
      <c r="K19" s="2" t="inlineStr">
        <is>
          <t>none</t>
        </is>
      </c>
      <c r="L19" s="2" t="inlineStr">
        <is>
          <t>None</t>
        </is>
      </c>
      <c r="N19" s="2" t="inlineStr">
        <is>
          <t>deuterium oxide</t>
        </is>
      </c>
      <c r="O19" s="2" t="inlineStr">
        <is>
          <t>poly(ethylene oxide)</t>
        </is>
      </c>
      <c r="P19" s="3" t="n">
        <v>3</v>
      </c>
      <c r="R19" s="2" t="inlineStr">
        <is>
          <t>poly(methyl methacrylate) in toluene (test5)</t>
        </is>
      </c>
      <c r="S19" s="3">
        <f>H19-J19*3</f>
        <v/>
      </c>
      <c r="T19" s="3">
        <f>H19-J19*6</f>
        <v/>
      </c>
    </row>
    <row r="20">
      <c r="A20" s="2" t="inlineStr">
        <is>
          <t>test5</t>
        </is>
      </c>
      <c r="B20" s="2" t="inlineStr">
        <is>
          <t>table1</t>
        </is>
      </c>
      <c r="C20" s="2" t="inlineStr">
        <is>
          <t xml:space="preserve"> uma own's </t>
        </is>
      </c>
      <c r="D20" s="2" t="inlineStr">
        <is>
          <t>uma own's</t>
        </is>
      </c>
      <c r="E20" s="2" t="inlineStr">
        <is>
          <t>CDCl3</t>
        </is>
      </c>
      <c r="F20" s="2" t="inlineStr">
        <is>
          <t>chloroform-d</t>
        </is>
      </c>
      <c r="G20" s="3" t="n"/>
      <c r="H20" s="3" t="n">
        <v>-7.53</v>
      </c>
      <c r="I20" s="2" t="inlineStr">
        <is>
          <t>corrected_minus_sign</t>
        </is>
      </c>
      <c r="J20" s="3" t="n">
        <v>0.5600000000000001</v>
      </c>
      <c r="K20" s="2" t="inlineStr">
        <is>
          <t>none</t>
        </is>
      </c>
      <c r="L20" s="2" t="inlineStr">
        <is>
          <t>polymer_name</t>
        </is>
      </c>
      <c r="N20" s="2" t="inlineStr">
        <is>
          <t>deuterium oxide</t>
        </is>
      </c>
      <c r="O20" s="2" t="inlineStr">
        <is>
          <t>pullulane</t>
        </is>
      </c>
      <c r="P20" s="3" t="n">
        <v>1</v>
      </c>
    </row>
    <row r="21">
      <c r="A21" s="2" t="inlineStr">
        <is>
          <t>test5</t>
        </is>
      </c>
      <c r="B21" s="2" t="inlineStr">
        <is>
          <t>table1</t>
        </is>
      </c>
      <c r="C21" s="2" t="inlineStr">
        <is>
          <t>dextrane</t>
        </is>
      </c>
      <c r="D21" s="2" t="inlineStr">
        <is>
          <t>dextran</t>
        </is>
      </c>
      <c r="E21" s="2" t="inlineStr">
        <is>
          <t>D2O</t>
        </is>
      </c>
      <c r="F21" s="2" t="inlineStr">
        <is>
          <t>deuterium oxide</t>
        </is>
      </c>
      <c r="G21" s="3" t="n"/>
      <c r="H21" s="3" t="n">
        <v>-8.140000000000001</v>
      </c>
      <c r="I21" s="2" t="inlineStr">
        <is>
          <t>corrected_minus_sign</t>
        </is>
      </c>
      <c r="J21" s="3" t="n">
        <v>0.47</v>
      </c>
      <c r="K21" s="2" t="inlineStr">
        <is>
          <t>none</t>
        </is>
      </c>
      <c r="L21" s="2" t="inlineStr">
        <is>
          <t>None</t>
        </is>
      </c>
      <c r="N21" s="2" t="inlineStr">
        <is>
          <t>dichloromethane</t>
        </is>
      </c>
      <c r="O21" s="2" t="inlineStr">
        <is>
          <t>poly(methyl methacrylate)</t>
        </is>
      </c>
      <c r="P21" s="3" t="n">
        <v>1</v>
      </c>
      <c r="R21" s="2" t="inlineStr">
        <is>
          <t>dextran in deuterium oxide (test5)</t>
        </is>
      </c>
      <c r="S21" s="3">
        <f>H21-J21*3</f>
        <v/>
      </c>
      <c r="T21" s="3">
        <f>H21-J21*6</f>
        <v/>
      </c>
    </row>
    <row r="22">
      <c r="A22" s="2" t="inlineStr">
        <is>
          <t>test5</t>
        </is>
      </c>
      <c r="B22" s="2" t="inlineStr">
        <is>
          <t>table1</t>
        </is>
      </c>
      <c r="C22" s="2" t="inlineStr">
        <is>
          <t>pullane</t>
        </is>
      </c>
      <c r="D22" s="2" t="inlineStr">
        <is>
          <t>pullulane</t>
        </is>
      </c>
      <c r="E22" s="2" t="inlineStr">
        <is>
          <t>D2O</t>
        </is>
      </c>
      <c r="F22" s="2" t="inlineStr">
        <is>
          <t>deuterium oxide</t>
        </is>
      </c>
      <c r="G22" s="3" t="n"/>
      <c r="H22" s="3" t="n">
        <v>-8.199999999999999</v>
      </c>
      <c r="I22" s="2" t="inlineStr">
        <is>
          <t>corrected_minus_sign</t>
        </is>
      </c>
      <c r="J22" s="3" t="n">
        <v>0.49</v>
      </c>
      <c r="K22" s="2" t="inlineStr">
        <is>
          <t>none</t>
        </is>
      </c>
      <c r="L22" s="2" t="inlineStr">
        <is>
          <t>None</t>
        </is>
      </c>
      <c r="N22" s="2" t="inlineStr">
        <is>
          <t>dichloromethane</t>
        </is>
      </c>
      <c r="O22" s="2" t="inlineStr">
        <is>
          <t>polystyrene</t>
        </is>
      </c>
      <c r="P22" s="3" t="n">
        <v>1</v>
      </c>
      <c r="R22" s="2" t="inlineStr">
        <is>
          <t>pullulane in deuterium oxide (test5)</t>
        </is>
      </c>
      <c r="S22" s="3">
        <f>H22-J22*3</f>
        <v/>
      </c>
      <c r="T22" s="3">
        <f>H22-J22*6</f>
        <v/>
      </c>
    </row>
    <row r="23">
      <c r="A23" s="2" t="inlineStr">
        <is>
          <t>test5</t>
        </is>
      </c>
      <c r="B23" s="2" t="inlineStr">
        <is>
          <t>table1</t>
        </is>
      </c>
      <c r="C23" s="2" t="inlineStr">
        <is>
          <t>PEG [a]</t>
        </is>
      </c>
      <c r="D23" s="2" t="inlineStr">
        <is>
          <t>poly(ethylene oxide)</t>
        </is>
      </c>
      <c r="E23" s="2" t="inlineStr">
        <is>
          <t>D2O</t>
        </is>
      </c>
      <c r="F23" s="2" t="inlineStr">
        <is>
          <t>deuterium oxide</t>
        </is>
      </c>
      <c r="G23" s="3" t="n"/>
      <c r="H23" s="3" t="n">
        <v>-8.390000000000001</v>
      </c>
      <c r="I23" s="2" t="inlineStr">
        <is>
          <t>corrected_minus_sign</t>
        </is>
      </c>
      <c r="J23" s="3" t="n">
        <v>0.47</v>
      </c>
      <c r="K23" s="2" t="inlineStr">
        <is>
          <t>none</t>
        </is>
      </c>
      <c r="L23" s="2" t="inlineStr">
        <is>
          <t>None</t>
        </is>
      </c>
      <c r="N23" s="2" t="inlineStr">
        <is>
          <t>dimethyl sulfoxide</t>
        </is>
      </c>
      <c r="O23" s="2" t="inlineStr">
        <is>
          <t>poly(methyl methacrylate)</t>
        </is>
      </c>
      <c r="P23" s="3" t="n">
        <v>1</v>
      </c>
      <c r="R23" s="2" t="inlineStr">
        <is>
          <t>poly(ethylene oxide) in deuterium oxide (test5)</t>
        </is>
      </c>
      <c r="S23" s="3">
        <f>H23-J23*3</f>
        <v/>
      </c>
      <c r="T23" s="3">
        <f>H23-J23*6</f>
        <v/>
      </c>
    </row>
    <row r="24">
      <c r="A24" s="2" t="inlineStr">
        <is>
          <t>test5</t>
        </is>
      </c>
      <c r="B24" s="2" t="inlineStr">
        <is>
          <t>table2</t>
        </is>
      </c>
      <c r="C24" s="2" t="inlineStr">
        <is>
          <t>polystyrene</t>
        </is>
      </c>
      <c r="D24" s="2" t="inlineStr">
        <is>
          <t>polystyrene</t>
        </is>
      </c>
      <c r="E24" s="2" t="inlineStr">
        <is>
          <t>benzene-d6</t>
        </is>
      </c>
      <c r="F24" s="2" t="inlineStr">
        <is>
          <t>benzene-d6</t>
        </is>
      </c>
      <c r="G24" s="3" t="n"/>
      <c r="H24" s="3" t="n">
        <v>-7.94</v>
      </c>
      <c r="I24" s="2" t="inlineStr">
        <is>
          <t>minus_sign_correction</t>
        </is>
      </c>
      <c r="J24" s="3" t="n">
        <v>0.49</v>
      </c>
      <c r="K24" s="2" t="inlineStr">
        <is>
          <t>none</t>
        </is>
      </c>
      <c r="L24" s="2" t="inlineStr">
        <is>
          <t>None</t>
        </is>
      </c>
      <c r="N24" s="2" t="inlineStr">
        <is>
          <t>methanol-d4</t>
        </is>
      </c>
      <c r="O24" s="2" t="inlineStr">
        <is>
          <t>poly(ethylene oxide)</t>
        </is>
      </c>
      <c r="P24" s="3" t="n">
        <v>2</v>
      </c>
      <c r="R24" s="2" t="inlineStr">
        <is>
          <t>polystyrene in benzene-d6 (test5)</t>
        </is>
      </c>
      <c r="S24" s="3">
        <f>H24-J24*3</f>
        <v/>
      </c>
      <c r="T24" s="3">
        <f>H24-J24*6</f>
        <v/>
      </c>
    </row>
    <row r="25">
      <c r="A25" s="2" t="inlineStr">
        <is>
          <t>test5</t>
        </is>
      </c>
      <c r="B25" s="2" t="inlineStr">
        <is>
          <t>table2</t>
        </is>
      </c>
      <c r="C25" s="2" t="inlineStr">
        <is>
          <t>polystyrene</t>
        </is>
      </c>
      <c r="D25" s="2" t="inlineStr">
        <is>
          <t>polystyrene</t>
        </is>
      </c>
      <c r="E25" s="2" t="inlineStr">
        <is>
          <t>CDCl3</t>
        </is>
      </c>
      <c r="F25" s="2" t="inlineStr">
        <is>
          <t>chloroform-d</t>
        </is>
      </c>
      <c r="G25" s="3" t="n"/>
      <c r="H25" s="3" t="n">
        <v>-7.97</v>
      </c>
      <c r="I25" s="2" t="inlineStr">
        <is>
          <t>minus_sign_correction</t>
        </is>
      </c>
      <c r="J25" s="3" t="n">
        <v>0.46</v>
      </c>
      <c r="K25" s="2" t="inlineStr">
        <is>
          <t>none</t>
        </is>
      </c>
      <c r="L25" s="2" t="inlineStr">
        <is>
          <t>None</t>
        </is>
      </c>
      <c r="N25" s="2" t="inlineStr">
        <is>
          <t>tetrahydrofuran</t>
        </is>
      </c>
      <c r="O25" s="2" t="inlineStr">
        <is>
          <t>poly(methyl methacrylate)</t>
        </is>
      </c>
      <c r="P25" s="3" t="n">
        <v>1</v>
      </c>
      <c r="R25" s="2" t="inlineStr">
        <is>
          <t>polystyrene in chloroform-d (test5)</t>
        </is>
      </c>
      <c r="S25" s="3">
        <f>H25-J25*3</f>
        <v/>
      </c>
      <c r="T25" s="3">
        <f>H25-J25*6</f>
        <v/>
      </c>
    </row>
    <row r="26">
      <c r="A26" s="2" t="inlineStr">
        <is>
          <t>test5</t>
        </is>
      </c>
      <c r="B26" s="2" t="inlineStr">
        <is>
          <t>table2</t>
        </is>
      </c>
      <c r="C26" s="2" t="inlineStr">
        <is>
          <t>polystyrene</t>
        </is>
      </c>
      <c r="D26" s="2" t="inlineStr">
        <is>
          <t>polystyrene</t>
        </is>
      </c>
      <c r="E26" s="2" t="inlineStr">
        <is>
          <t>acetone-d6</t>
        </is>
      </c>
      <c r="F26" s="2" t="inlineStr">
        <is>
          <t>acetone-d6</t>
        </is>
      </c>
      <c r="G26" s="3" t="n"/>
      <c r="H26" s="3" t="n">
        <v>-7.78</v>
      </c>
      <c r="I26" s="2" t="inlineStr">
        <is>
          <t>minus_sign_correction</t>
        </is>
      </c>
      <c r="J26" s="3" t="n">
        <v>0.43</v>
      </c>
      <c r="K26" s="2" t="inlineStr">
        <is>
          <t>none</t>
        </is>
      </c>
      <c r="L26" s="2" t="inlineStr">
        <is>
          <t>None</t>
        </is>
      </c>
      <c r="N26" s="2" t="inlineStr">
        <is>
          <t>tetrahydrofuran-d8</t>
        </is>
      </c>
      <c r="O26" s="2" t="inlineStr">
        <is>
          <t>poly(ethylene oxide)</t>
        </is>
      </c>
      <c r="P26" s="3" t="n">
        <v>3</v>
      </c>
      <c r="R26" s="2" t="inlineStr">
        <is>
          <t>polystyrene in acetone-d6 (test5)</t>
        </is>
      </c>
      <c r="S26" s="3">
        <f>H26-J26*3</f>
        <v/>
      </c>
      <c r="T26" s="3">
        <f>H26-J26*6</f>
        <v/>
      </c>
    </row>
    <row r="27">
      <c r="A27" s="2" t="inlineStr">
        <is>
          <t>test5</t>
        </is>
      </c>
      <c r="B27" s="2" t="inlineStr">
        <is>
          <t>table2</t>
        </is>
      </c>
      <c r="C27" s="2" t="inlineStr">
        <is>
          <t>polystyrene</t>
        </is>
      </c>
      <c r="D27" s="2" t="inlineStr">
        <is>
          <t>polystyrene</t>
        </is>
      </c>
      <c r="E27" s="2" t="inlineStr">
        <is>
          <t>toluene-d8</t>
        </is>
      </c>
      <c r="F27" s="2" t="inlineStr">
        <is>
          <t>toluene-d8</t>
        </is>
      </c>
      <c r="G27" s="3" t="n"/>
      <c r="H27" s="3" t="n">
        <v>-7.82</v>
      </c>
      <c r="I27" s="2" t="inlineStr">
        <is>
          <t>minus_sign_correction</t>
        </is>
      </c>
      <c r="J27" s="3" t="n">
        <v>0.51</v>
      </c>
      <c r="K27" s="2" t="inlineStr">
        <is>
          <t>none</t>
        </is>
      </c>
      <c r="L27" s="2" t="inlineStr">
        <is>
          <t>None</t>
        </is>
      </c>
      <c r="N27" s="2" t="inlineStr">
        <is>
          <t>tetrahydrofuran-d8</t>
        </is>
      </c>
      <c r="O27" s="2" t="inlineStr">
        <is>
          <t>poly(methyl methacrylate)</t>
        </is>
      </c>
      <c r="P27" s="3" t="n">
        <v>1</v>
      </c>
      <c r="R27" s="2" t="inlineStr">
        <is>
          <t>polystyrene in toluene-d8 (test5)</t>
        </is>
      </c>
      <c r="S27" s="3">
        <f>H27-J27*3</f>
        <v/>
      </c>
      <c r="T27" s="3">
        <f>H27-J27*6</f>
        <v/>
      </c>
    </row>
    <row r="28">
      <c r="A28" s="2" t="inlineStr">
        <is>
          <t>test5</t>
        </is>
      </c>
      <c r="B28" s="2" t="inlineStr">
        <is>
          <t>table2</t>
        </is>
      </c>
      <c r="C28" s="2" t="inlineStr">
        <is>
          <t>polystyrene</t>
        </is>
      </c>
      <c r="D28" s="2" t="inlineStr">
        <is>
          <t>polystyrene</t>
        </is>
      </c>
      <c r="E28" s="2" t="inlineStr">
        <is>
          <t>THF-d8</t>
        </is>
      </c>
      <c r="F28" s="2" t="inlineStr">
        <is>
          <t>tetrahydrofuran-d8</t>
        </is>
      </c>
      <c r="G28" s="3" t="n"/>
      <c r="H28" s="3" t="n">
        <v>-8.07</v>
      </c>
      <c r="I28" s="2" t="inlineStr">
        <is>
          <t>minus_sign_correction</t>
        </is>
      </c>
      <c r="J28" s="3" t="n">
        <v>0.42</v>
      </c>
      <c r="K28" s="2" t="inlineStr">
        <is>
          <t>none</t>
        </is>
      </c>
      <c r="L28" s="2" t="inlineStr">
        <is>
          <t>None</t>
        </is>
      </c>
      <c r="N28" s="2" t="inlineStr">
        <is>
          <t>tetrahydrofuran-d8</t>
        </is>
      </c>
      <c r="O28" s="2" t="inlineStr">
        <is>
          <t>polystyrene</t>
        </is>
      </c>
      <c r="P28" s="3" t="n">
        <v>2</v>
      </c>
      <c r="R28" s="2" t="inlineStr">
        <is>
          <t>polystyrene in tetrahydrofuran-d8 (test5)</t>
        </is>
      </c>
      <c r="S28" s="3">
        <f>H28-J28*3</f>
        <v/>
      </c>
      <c r="T28" s="3">
        <f>H28-J28*6</f>
        <v/>
      </c>
    </row>
    <row r="29">
      <c r="A29" s="2" t="inlineStr">
        <is>
          <t>test5</t>
        </is>
      </c>
      <c r="B29" s="2" t="inlineStr">
        <is>
          <t>table3</t>
        </is>
      </c>
      <c r="C29" s="2" t="inlineStr">
        <is>
          <t>poly(ethylene glycol)</t>
        </is>
      </c>
      <c r="D29" s="2" t="inlineStr">
        <is>
          <t>poly(ethylene oxide)</t>
        </is>
      </c>
      <c r="E29" s="2" t="inlineStr">
        <is>
          <t>D2O</t>
        </is>
      </c>
      <c r="F29" s="2" t="inlineStr">
        <is>
          <t>deuterium oxide</t>
        </is>
      </c>
      <c r="G29" s="3" t="n"/>
      <c r="H29" s="3" t="n">
        <v>-8.23</v>
      </c>
      <c r="I29" s="2" t="inlineStr">
        <is>
          <t>log10</t>
        </is>
      </c>
      <c r="J29" s="3" t="n">
        <v>0.49</v>
      </c>
      <c r="K29" s="2" t="inlineStr">
        <is>
          <t>none</t>
        </is>
      </c>
      <c r="L29" s="2" t="inlineStr">
        <is>
          <t>None</t>
        </is>
      </c>
      <c r="N29" s="2" t="inlineStr">
        <is>
          <t>toluene</t>
        </is>
      </c>
      <c r="O29" s="2" t="inlineStr">
        <is>
          <t>poly(methyl methacrylate)</t>
        </is>
      </c>
      <c r="P29" s="3" t="n">
        <v>2</v>
      </c>
      <c r="R29" s="2" t="inlineStr">
        <is>
          <t>poly(ethylene oxide) in deuterium oxide (test5)</t>
        </is>
      </c>
      <c r="S29" s="3">
        <f>H29-J29*3</f>
        <v/>
      </c>
      <c r="T29" s="3">
        <f>H29-J29*6</f>
        <v/>
      </c>
    </row>
    <row r="30">
      <c r="A30" s="2" t="inlineStr">
        <is>
          <t>test5</t>
        </is>
      </c>
      <c r="B30" s="2" t="inlineStr">
        <is>
          <t>table3</t>
        </is>
      </c>
      <c r="C30" s="2" t="inlineStr">
        <is>
          <t>poly(ethylene glycol)</t>
        </is>
      </c>
      <c r="D30" s="2" t="inlineStr">
        <is>
          <t>poly(ethylene oxide)</t>
        </is>
      </c>
      <c r="E30" s="2" t="inlineStr">
        <is>
          <t>methanol-d4</t>
        </is>
      </c>
      <c r="F30" s="2" t="inlineStr">
        <is>
          <t>methanol-d4</t>
        </is>
      </c>
      <c r="G30" s="3" t="n"/>
      <c r="H30" s="3" t="n">
        <v>-8.06</v>
      </c>
      <c r="I30" s="2" t="inlineStr">
        <is>
          <t>log10</t>
        </is>
      </c>
      <c r="J30" s="3" t="n">
        <v>0.45</v>
      </c>
      <c r="K30" s="2" t="inlineStr">
        <is>
          <t>none</t>
        </is>
      </c>
      <c r="L30" s="2" t="inlineStr">
        <is>
          <t>None</t>
        </is>
      </c>
      <c r="N30" s="2" t="inlineStr">
        <is>
          <t>toluene-d8</t>
        </is>
      </c>
      <c r="O30" s="2" t="inlineStr">
        <is>
          <t>polystyrene</t>
        </is>
      </c>
      <c r="P30" s="3" t="n">
        <v>2</v>
      </c>
      <c r="R30" s="2" t="inlineStr">
        <is>
          <t>poly(ethylene oxide) in methanol-d4 (test5)</t>
        </is>
      </c>
      <c r="S30" s="3">
        <f>H30-J30*3</f>
        <v/>
      </c>
      <c r="T30" s="3">
        <f>H30-J30*6</f>
        <v/>
      </c>
    </row>
    <row r="31">
      <c r="A31" s="2" t="inlineStr">
        <is>
          <t>test5</t>
        </is>
      </c>
      <c r="B31" s="2" t="inlineStr">
        <is>
          <t>table3</t>
        </is>
      </c>
      <c r="C31" s="2" t="inlineStr">
        <is>
          <t>poly(ethylene glycol)</t>
        </is>
      </c>
      <c r="D31" s="2" t="inlineStr">
        <is>
          <t>poly(ethylene oxide)</t>
        </is>
      </c>
      <c r="E31" s="2" t="inlineStr">
        <is>
          <t>acetone-d6</t>
        </is>
      </c>
      <c r="F31" s="2" t="inlineStr">
        <is>
          <t>acetone-d6</t>
        </is>
      </c>
      <c r="G31" s="3" t="n"/>
      <c r="H31" s="3" t="n">
        <v>-7.94</v>
      </c>
      <c r="I31" s="2" t="inlineStr">
        <is>
          <t>log10</t>
        </is>
      </c>
      <c r="J31" s="3" t="n">
        <v>0.41</v>
      </c>
      <c r="K31" s="2" t="inlineStr">
        <is>
          <t>none</t>
        </is>
      </c>
      <c r="L31" s="2" t="inlineStr">
        <is>
          <t>None</t>
        </is>
      </c>
      <c r="N31" s="2" t="inlineStr">
        <is>
          <t>water</t>
        </is>
      </c>
      <c r="O31" s="2" t="inlineStr">
        <is>
          <t>poly(ethylene glycol) methyl ether acrylate</t>
        </is>
      </c>
      <c r="P31" s="3" t="n">
        <v>1</v>
      </c>
      <c r="R31" s="2" t="inlineStr">
        <is>
          <t>poly(ethylene oxide) in acetone-d6 (test5)</t>
        </is>
      </c>
      <c r="S31" s="3">
        <f>H31-J31*3</f>
        <v/>
      </c>
      <c r="T31" s="3">
        <f>H31-J31*6</f>
        <v/>
      </c>
    </row>
    <row r="32">
      <c r="A32" s="2" t="inlineStr">
        <is>
          <t>test5</t>
        </is>
      </c>
      <c r="B32" s="2" t="inlineStr">
        <is>
          <t>table3</t>
        </is>
      </c>
      <c r="C32" s="2" t="inlineStr">
        <is>
          <t>poly(ethylene glycol)</t>
        </is>
      </c>
      <c r="D32" s="2" t="inlineStr">
        <is>
          <t>poly(ethylene oxide)</t>
        </is>
      </c>
      <c r="E32" s="2" t="inlineStr">
        <is>
          <t>THF-d8</t>
        </is>
      </c>
      <c r="F32" s="2" t="inlineStr">
        <is>
          <t>tetrahydrofuran-d8</t>
        </is>
      </c>
      <c r="G32" s="3" t="n"/>
      <c r="H32" s="3" t="n">
        <v>-7.94</v>
      </c>
      <c r="I32" s="2" t="inlineStr">
        <is>
          <t>log10</t>
        </is>
      </c>
      <c r="J32" s="3" t="n">
        <v>0.46</v>
      </c>
      <c r="K32" s="2" t="inlineStr">
        <is>
          <t>none</t>
        </is>
      </c>
      <c r="L32" s="2" t="inlineStr">
        <is>
          <t>None</t>
        </is>
      </c>
      <c r="R32" s="2" t="inlineStr">
        <is>
          <t>poly(ethylene oxide) in tetrahydrofuran-d8 (test5)</t>
        </is>
      </c>
      <c r="S32" s="3">
        <f>H32-J32*3</f>
        <v/>
      </c>
      <c r="T32" s="3">
        <f>H32-J32*6</f>
        <v/>
      </c>
    </row>
    <row r="33">
      <c r="A33" s="2" t="inlineStr">
        <is>
          <t>test5</t>
        </is>
      </c>
      <c r="B33" s="2" t="inlineStr">
        <is>
          <t>table3</t>
        </is>
      </c>
      <c r="C33" s="2" t="inlineStr">
        <is>
          <t>poly(ethylene glycol)</t>
        </is>
      </c>
      <c r="D33" s="2" t="inlineStr">
        <is>
          <t>poly(ethylene oxide)</t>
        </is>
      </c>
      <c r="E33" s="2" t="inlineStr">
        <is>
          <t>THF-d8</t>
        </is>
      </c>
      <c r="F33" s="2" t="inlineStr">
        <is>
          <t>tetrahydrofuran-d8</t>
        </is>
      </c>
      <c r="G33" s="3" t="n"/>
      <c r="H33" s="3" t="n">
        <v>-8.039999999999999</v>
      </c>
      <c r="I33" s="2" t="inlineStr">
        <is>
          <t>log10</t>
        </is>
      </c>
      <c r="J33" s="3" t="n">
        <v>0.45</v>
      </c>
      <c r="K33" s="2" t="inlineStr">
        <is>
          <t>none</t>
        </is>
      </c>
      <c r="L33" s="2" t="inlineStr">
        <is>
          <t>None</t>
        </is>
      </c>
      <c r="R33" s="2" t="inlineStr">
        <is>
          <t>poly(ethylene oxide) in tetrahydrofuran-d8 (test5)</t>
        </is>
      </c>
      <c r="S33" s="3">
        <f>H33-J33*3</f>
        <v/>
      </c>
      <c r="T33" s="3">
        <f>H33-J33*6</f>
        <v/>
      </c>
    </row>
    <row r="34">
      <c r="A34" s="2" t="inlineStr">
        <is>
          <t>test5</t>
        </is>
      </c>
      <c r="B34" s="2" t="inlineStr">
        <is>
          <t>table3</t>
        </is>
      </c>
      <c r="C34" s="2" t="inlineStr">
        <is>
          <t>poly(ethylene glycol)</t>
        </is>
      </c>
      <c r="D34" s="2" t="inlineStr">
        <is>
          <t>poly(ethylene oxide)</t>
        </is>
      </c>
      <c r="E34" s="2" t="inlineStr">
        <is>
          <t>CDCl3</t>
        </is>
      </c>
      <c r="F34" s="2" t="inlineStr">
        <is>
          <t>chloroform-d</t>
        </is>
      </c>
      <c r="G34" s="3" t="n"/>
      <c r="H34" s="3" t="n">
        <v>-8.039999999999999</v>
      </c>
      <c r="I34" s="2" t="inlineStr">
        <is>
          <t>log10</t>
        </is>
      </c>
      <c r="J34" s="3" t="n">
        <v>0.45</v>
      </c>
      <c r="K34" s="2" t="inlineStr">
        <is>
          <t>none</t>
        </is>
      </c>
      <c r="L34" s="2" t="inlineStr">
        <is>
          <t>None</t>
        </is>
      </c>
      <c r="R34" s="2" t="inlineStr">
        <is>
          <t>poly(ethylene oxide) in chloroform-d (test5)</t>
        </is>
      </c>
      <c r="S34" s="3">
        <f>H34-J34*3</f>
        <v/>
      </c>
      <c r="T34" s="3">
        <f>H34-J34*6</f>
        <v/>
      </c>
    </row>
    <row r="35">
      <c r="A35" s="2" t="inlineStr">
        <is>
          <t>test5</t>
        </is>
      </c>
      <c r="B35" s="2" t="inlineStr">
        <is>
          <t>table3</t>
        </is>
      </c>
      <c r="C35" s="2" t="inlineStr">
        <is>
          <t>poly(ethylene glycol)</t>
        </is>
      </c>
      <c r="D35" s="2" t="inlineStr">
        <is>
          <t>poly(ethylene oxide)</t>
        </is>
      </c>
      <c r="E35" s="2" t="inlineStr">
        <is>
          <t>ACN-d3</t>
        </is>
      </c>
      <c r="F35" s="2" t="inlineStr">
        <is>
          <t>acetonitrile-d3</t>
        </is>
      </c>
      <c r="G35" s="3" t="n"/>
      <c r="H35" s="3" t="n">
        <v>-7.88</v>
      </c>
      <c r="I35" s="2" t="inlineStr">
        <is>
          <t>log10</t>
        </is>
      </c>
      <c r="J35" s="3" t="n">
        <v>0.44</v>
      </c>
      <c r="K35" s="2" t="inlineStr">
        <is>
          <t>none</t>
        </is>
      </c>
      <c r="L35" s="2" t="inlineStr">
        <is>
          <t>None</t>
        </is>
      </c>
      <c r="R35" s="2" t="inlineStr">
        <is>
          <t>poly(ethylene oxide) in acetonitrile-d3 (test5)</t>
        </is>
      </c>
      <c r="S35" s="3">
        <f>H35-J35*3</f>
        <v/>
      </c>
      <c r="T35" s="3">
        <f>H35-J35*6</f>
        <v/>
      </c>
    </row>
    <row r="36">
      <c r="A36" s="2" t="inlineStr">
        <is>
          <t>test7</t>
        </is>
      </c>
      <c r="B36" s="2" t="inlineStr">
        <is>
          <t>table1</t>
        </is>
      </c>
      <c r="C36" s="2" t="inlineStr">
        <is>
          <t>pMMA</t>
        </is>
      </c>
      <c r="D36" s="2" t="inlineStr">
        <is>
          <t>poly(methyl methacrylate)</t>
        </is>
      </c>
      <c r="E36" s="2" t="inlineStr">
        <is>
          <t>Toluene</t>
        </is>
      </c>
      <c r="F36" s="2" t="inlineStr">
        <is>
          <t>toluene</t>
        </is>
      </c>
      <c r="G36" s="3" t="n"/>
      <c r="H36" s="3" t="n">
        <v>-8.109999999999999</v>
      </c>
      <c r="I36" s="2" t="inlineStr">
        <is>
          <t>none</t>
        </is>
      </c>
      <c r="J36" s="3" t="n">
        <v>0.43</v>
      </c>
      <c r="K36" s="2" t="inlineStr">
        <is>
          <t>none</t>
        </is>
      </c>
      <c r="L36" s="2" t="inlineStr">
        <is>
          <t>None</t>
        </is>
      </c>
      <c r="R36" s="2" t="inlineStr">
        <is>
          <t>poly(methyl methacrylate) in toluene (test7)</t>
        </is>
      </c>
      <c r="S36" s="3">
        <f>H36-J36*3</f>
        <v/>
      </c>
      <c r="T36" s="3">
        <f>H36-J36*6</f>
        <v/>
      </c>
    </row>
    <row r="37">
      <c r="A37" s="2" t="inlineStr">
        <is>
          <t>test7</t>
        </is>
      </c>
      <c r="B37" s="2" t="inlineStr">
        <is>
          <t>table1</t>
        </is>
      </c>
      <c r="C37" s="2" t="inlineStr">
        <is>
          <t>pMMA</t>
        </is>
      </c>
      <c r="D37" s="2" t="inlineStr">
        <is>
          <t>poly(methyl methacrylate)</t>
        </is>
      </c>
      <c r="E37" s="2" t="inlineStr">
        <is>
          <t>Benzene</t>
        </is>
      </c>
      <c r="F37" s="2" t="inlineStr">
        <is>
          <t>benzene</t>
        </is>
      </c>
      <c r="G37" s="3" t="n"/>
      <c r="H37" s="3" t="n">
        <v>-7.91</v>
      </c>
      <c r="I37" s="2" t="inlineStr">
        <is>
          <t>none</t>
        </is>
      </c>
      <c r="J37" s="3" t="n">
        <v>0.48</v>
      </c>
      <c r="K37" s="2" t="inlineStr">
        <is>
          <t>none</t>
        </is>
      </c>
      <c r="L37" s="2" t="inlineStr">
        <is>
          <t>None</t>
        </is>
      </c>
      <c r="R37" s="2" t="inlineStr">
        <is>
          <t>poly(methyl methacrylate) in benzene (test7)</t>
        </is>
      </c>
      <c r="S37" s="3">
        <f>H37-J37*3</f>
        <v/>
      </c>
      <c r="T37" s="3">
        <f>H37-J37*6</f>
        <v/>
      </c>
    </row>
    <row r="38">
      <c r="A38" s="2" t="inlineStr">
        <is>
          <t>test7</t>
        </is>
      </c>
      <c r="B38" s="2" t="inlineStr">
        <is>
          <t>table1</t>
        </is>
      </c>
      <c r="C38" s="2" t="inlineStr">
        <is>
          <t>pMMA</t>
        </is>
      </c>
      <c r="D38" s="2" t="inlineStr">
        <is>
          <t>poly(methyl methacrylate)</t>
        </is>
      </c>
      <c r="E38" s="2" t="inlineStr">
        <is>
          <t>sAcetone</t>
        </is>
      </c>
      <c r="F38" s="2" t="inlineStr">
        <is>
          <t>acetone</t>
        </is>
      </c>
      <c r="G38" s="3" t="n"/>
      <c r="H38" s="3" t="n">
        <v>-7.74</v>
      </c>
      <c r="I38" s="2" t="inlineStr">
        <is>
          <t>none</t>
        </is>
      </c>
      <c r="J38" s="3" t="n">
        <v>0.44</v>
      </c>
      <c r="K38" s="2" t="inlineStr">
        <is>
          <t>none</t>
        </is>
      </c>
      <c r="L38" s="2" t="inlineStr">
        <is>
          <t>None</t>
        </is>
      </c>
      <c r="R38" s="2" t="inlineStr">
        <is>
          <t>poly(methyl methacrylate) in acetone (test7)</t>
        </is>
      </c>
      <c r="S38" s="3">
        <f>H38-J38*3</f>
        <v/>
      </c>
      <c r="T38" s="3">
        <f>H38-J38*6</f>
        <v/>
      </c>
    </row>
    <row r="39">
      <c r="A39" s="2" t="inlineStr">
        <is>
          <t>test7</t>
        </is>
      </c>
      <c r="B39" s="2" t="inlineStr">
        <is>
          <t>table1</t>
        </is>
      </c>
      <c r="C39" s="2" t="inlineStr">
        <is>
          <t>pMMA</t>
        </is>
      </c>
      <c r="D39" s="2" t="inlineStr">
        <is>
          <t>poly(methyl methacrylate)</t>
        </is>
      </c>
      <c r="E39" s="2" t="inlineStr">
        <is>
          <t>THF</t>
        </is>
      </c>
      <c r="F39" s="2" t="inlineStr">
        <is>
          <t>tetrahydrofuran</t>
        </is>
      </c>
      <c r="G39" s="3" t="n"/>
      <c r="H39" s="3" t="n">
        <v>-8.02</v>
      </c>
      <c r="I39" s="2" t="inlineStr">
        <is>
          <t>none</t>
        </is>
      </c>
      <c r="J39" s="3" t="n">
        <v>0.43</v>
      </c>
      <c r="K39" s="2" t="inlineStr">
        <is>
          <t>none</t>
        </is>
      </c>
      <c r="L39" s="2" t="inlineStr">
        <is>
          <t>None</t>
        </is>
      </c>
      <c r="R39" s="2" t="inlineStr">
        <is>
          <t>poly(methyl methacrylate) in tetrahydrofuran (test7)</t>
        </is>
      </c>
      <c r="S39" s="3">
        <f>H39-J39*3</f>
        <v/>
      </c>
      <c r="T39" s="3">
        <f>H39-J39*6</f>
        <v/>
      </c>
    </row>
    <row r="40">
      <c r="A40" s="2" t="inlineStr">
        <is>
          <t>test7</t>
        </is>
      </c>
      <c r="B40" s="2" t="inlineStr">
        <is>
          <t>table1</t>
        </is>
      </c>
      <c r="C40" s="2" t="inlineStr">
        <is>
          <t>pMMA</t>
        </is>
      </c>
      <c r="D40" s="2" t="inlineStr">
        <is>
          <t>poly(methyl methacrylate)</t>
        </is>
      </c>
      <c r="E40" s="2" t="inlineStr">
        <is>
          <t>D x η corrected</t>
        </is>
      </c>
      <c r="F40" s="2" t="inlineStr">
        <is>
          <t>D x η corrected</t>
        </is>
      </c>
      <c r="G40" s="3" t="n"/>
      <c r="H40" s="3" t="n">
        <v>-8.27</v>
      </c>
      <c r="I40" s="2" t="inlineStr">
        <is>
          <t>none</t>
        </is>
      </c>
      <c r="J40" s="3" t="n">
        <v>0.45</v>
      </c>
      <c r="K40" s="2" t="inlineStr">
        <is>
          <t>none</t>
        </is>
      </c>
      <c r="L40" s="2" t="inlineStr">
        <is>
          <t>solvent</t>
        </is>
      </c>
    </row>
    <row r="41">
      <c r="A41" s="2" t="inlineStr">
        <is>
          <t>test7</t>
        </is>
      </c>
      <c r="B41" s="2" t="inlineStr">
        <is>
          <t>table3</t>
        </is>
      </c>
      <c r="C41" s="2" t="inlineStr">
        <is>
          <t>poly(butyl acrylate)</t>
        </is>
      </c>
      <c r="D41" s="2" t="inlineStr">
        <is>
          <t>poly(butyl acrylate)</t>
        </is>
      </c>
      <c r="E41" s="2" t="inlineStr">
        <is>
          <t>Benzene</t>
        </is>
      </c>
      <c r="F41" s="2" t="inlineStr">
        <is>
          <t>benzene</t>
        </is>
      </c>
      <c r="G41" s="3" t="n"/>
      <c r="H41" s="3" t="n">
        <v>-7.83</v>
      </c>
      <c r="I41" s="2" t="inlineStr">
        <is>
          <t>none</t>
        </is>
      </c>
      <c r="J41" s="3" t="n">
        <v>0.51</v>
      </c>
      <c r="K41" s="2" t="inlineStr">
        <is>
          <t>none</t>
        </is>
      </c>
      <c r="L41" s="2" t="inlineStr">
        <is>
          <t>None</t>
        </is>
      </c>
      <c r="R41" s="2" t="inlineStr">
        <is>
          <t>poly(butyl acrylate) in benzene (test7)</t>
        </is>
      </c>
      <c r="S41" s="3">
        <f>H41-J41*3</f>
        <v/>
      </c>
      <c r="T41" s="3">
        <f>H41-J41*6</f>
        <v/>
      </c>
    </row>
    <row r="42">
      <c r="A42" s="2" t="inlineStr">
        <is>
          <t>test7</t>
        </is>
      </c>
      <c r="B42" s="2" t="inlineStr">
        <is>
          <t>table3</t>
        </is>
      </c>
      <c r="C42" s="2" t="inlineStr">
        <is>
          <t>poly(butyl acrylate)</t>
        </is>
      </c>
      <c r="D42" s="2" t="inlineStr">
        <is>
          <t>poly(butyl acrylate)</t>
        </is>
      </c>
      <c r="E42" s="2" t="inlineStr">
        <is>
          <t>Acetone</t>
        </is>
      </c>
      <c r="F42" s="2" t="inlineStr">
        <is>
          <t>acetone</t>
        </is>
      </c>
      <c r="G42" s="3" t="n"/>
      <c r="H42" s="3" t="n">
        <v>-7.56</v>
      </c>
      <c r="I42" s="2" t="inlineStr">
        <is>
          <t>none</t>
        </is>
      </c>
      <c r="J42" s="3" t="n">
        <v>0.5</v>
      </c>
      <c r="K42" s="2" t="inlineStr">
        <is>
          <t>none</t>
        </is>
      </c>
      <c r="L42" s="2" t="inlineStr">
        <is>
          <t>None</t>
        </is>
      </c>
      <c r="R42" s="2" t="inlineStr">
        <is>
          <t>poly(butyl acrylate) in acetone (test7)</t>
        </is>
      </c>
      <c r="S42" s="3">
        <f>H42-J42*3</f>
        <v/>
      </c>
      <c r="T42" s="3">
        <f>H42-J42*6</f>
        <v/>
      </c>
    </row>
    <row r="43">
      <c r="A43" s="2" t="inlineStr">
        <is>
          <t>test7</t>
        </is>
      </c>
      <c r="B43" s="2" t="inlineStr">
        <is>
          <t>table3</t>
        </is>
      </c>
      <c r="C43" s="2" t="inlineStr">
        <is>
          <t>poly(butyl acrylate)</t>
        </is>
      </c>
      <c r="D43" s="2" t="inlineStr">
        <is>
          <t>poly(butyl acrylate)</t>
        </is>
      </c>
      <c r="E43" s="2" t="inlineStr">
        <is>
          <t>Chloroform</t>
        </is>
      </c>
      <c r="F43" s="2" t="inlineStr">
        <is>
          <t>chloroform</t>
        </is>
      </c>
      <c r="G43" s="3" t="n"/>
      <c r="H43" s="3" t="n">
        <v>-7.86</v>
      </c>
      <c r="I43" s="2" t="inlineStr">
        <is>
          <t>none</t>
        </is>
      </c>
      <c r="J43" s="3" t="n">
        <v>0.5</v>
      </c>
      <c r="K43" s="2" t="inlineStr">
        <is>
          <t>none</t>
        </is>
      </c>
      <c r="L43" s="2" t="inlineStr">
        <is>
          <t>None</t>
        </is>
      </c>
      <c r="R43" s="2" t="inlineStr">
        <is>
          <t>poly(butyl acrylate) in chloroform (test7)</t>
        </is>
      </c>
      <c r="S43" s="3">
        <f>H43-J43*3</f>
        <v/>
      </c>
      <c r="T43" s="3">
        <f>H43-J43*6</f>
        <v/>
      </c>
    </row>
    <row r="44">
      <c r="A44" s="2" t="inlineStr">
        <is>
          <t>test7</t>
        </is>
      </c>
      <c r="B44" s="2" t="inlineStr">
        <is>
          <t>table3</t>
        </is>
      </c>
      <c r="C44" s="2" t="inlineStr">
        <is>
          <t>poly(butyl acrylate)</t>
        </is>
      </c>
      <c r="D44" s="2" t="inlineStr">
        <is>
          <t>poly(butyl acrylate)</t>
        </is>
      </c>
      <c r="E44" s="2" t="inlineStr">
        <is>
          <t>D x η corrected</t>
        </is>
      </c>
      <c r="F44" s="2" t="inlineStr">
        <is>
          <t>D x η corrected</t>
        </is>
      </c>
      <c r="G44" s="3" t="n"/>
      <c r="H44" s="3" t="n">
        <v>-8.050000000000001</v>
      </c>
      <c r="I44" s="2" t="inlineStr">
        <is>
          <t>none</t>
        </is>
      </c>
      <c r="J44" s="3" t="n">
        <v>0.51</v>
      </c>
      <c r="K44" s="2" t="inlineStr">
        <is>
          <t>none</t>
        </is>
      </c>
      <c r="L44" s="2" t="inlineStr">
        <is>
          <t>solvent</t>
        </is>
      </c>
    </row>
    <row r="45">
      <c r="A45" s="2" t="inlineStr">
        <is>
          <t>test7</t>
        </is>
      </c>
      <c r="B45" s="2" t="inlineStr">
        <is>
          <t>table6</t>
        </is>
      </c>
      <c r="C45" s="2" t="inlineStr">
        <is>
          <t>pPEGMEA</t>
        </is>
      </c>
      <c r="D45" s="2" t="inlineStr">
        <is>
          <t>poly(ethylene glycol) methyl ether acrylate</t>
        </is>
      </c>
      <c r="E45" s="2" t="inlineStr">
        <is>
          <t>Water</t>
        </is>
      </c>
      <c r="F45" s="2" t="inlineStr">
        <is>
          <t>water</t>
        </is>
      </c>
      <c r="G45" s="3" t="n"/>
      <c r="H45" s="3" t="n">
        <v>-8.31</v>
      </c>
      <c r="I45" s="2" t="inlineStr">
        <is>
          <t>none</t>
        </is>
      </c>
      <c r="J45" s="3" t="n">
        <v>0.47</v>
      </c>
      <c r="K45" s="2" t="inlineStr">
        <is>
          <t>none</t>
        </is>
      </c>
      <c r="L45" s="2" t="inlineStr">
        <is>
          <t>None</t>
        </is>
      </c>
      <c r="R45" s="2" t="inlineStr">
        <is>
          <t>poly(ethylene glycol) methyl ether acrylate in water (test7)</t>
        </is>
      </c>
      <c r="S45" s="3">
        <f>H45-J45*3</f>
        <v/>
      </c>
      <c r="T45" s="3">
        <f>H45-J45*6</f>
        <v/>
      </c>
    </row>
    <row r="46">
      <c r="A46" s="2" t="inlineStr">
        <is>
          <t>test7</t>
        </is>
      </c>
      <c r="B46" s="2" t="inlineStr">
        <is>
          <t>table6</t>
        </is>
      </c>
      <c r="C46" s="2" t="inlineStr">
        <is>
          <t>pPEGMEA</t>
        </is>
      </c>
      <c r="D46" s="2" t="inlineStr">
        <is>
          <t>poly(ethylene glycol) methyl ether acrylate</t>
        </is>
      </c>
      <c r="E46" s="2" t="inlineStr">
        <is>
          <t>Acetone</t>
        </is>
      </c>
      <c r="F46" s="2" t="inlineStr">
        <is>
          <t>acetone</t>
        </is>
      </c>
      <c r="G46" s="3" t="n"/>
      <c r="H46" s="3" t="n">
        <v>-8.01</v>
      </c>
      <c r="I46" s="2" t="inlineStr">
        <is>
          <t>none</t>
        </is>
      </c>
      <c r="J46" s="3" t="n">
        <v>0.39</v>
      </c>
      <c r="K46" s="2" t="inlineStr">
        <is>
          <t>none</t>
        </is>
      </c>
      <c r="L46" s="2" t="inlineStr">
        <is>
          <t>None</t>
        </is>
      </c>
      <c r="R46" s="2" t="inlineStr">
        <is>
          <t>poly(ethylene glycol) methyl ether acrylate in acetone (test7)</t>
        </is>
      </c>
      <c r="S46" s="3">
        <f>H46-J46*3</f>
        <v/>
      </c>
      <c r="T46" s="3">
        <f>H46-J46*6</f>
        <v/>
      </c>
    </row>
    <row r="47">
      <c r="A47" s="2" t="inlineStr">
        <is>
          <t>test7</t>
        </is>
      </c>
      <c r="B47" s="2" t="inlineStr">
        <is>
          <t>table6</t>
        </is>
      </c>
      <c r="C47" s="2" t="inlineStr">
        <is>
          <t>pPEGMEA</t>
        </is>
      </c>
      <c r="D47" s="2" t="inlineStr">
        <is>
          <t>poly(ethylene glycol) methyl ether acrylate</t>
        </is>
      </c>
      <c r="E47" s="2" t="inlineStr">
        <is>
          <t>D x η corrected</t>
        </is>
      </c>
      <c r="F47" s="2" t="inlineStr">
        <is>
          <t>D x η corrected</t>
        </is>
      </c>
      <c r="G47" s="3" t="n"/>
      <c r="H47" s="3" t="n">
        <v>-8.390000000000001</v>
      </c>
      <c r="I47" s="2" t="inlineStr">
        <is>
          <t>none</t>
        </is>
      </c>
      <c r="J47" s="3" t="n">
        <v>0.43</v>
      </c>
      <c r="K47" s="2" t="inlineStr">
        <is>
          <t>none</t>
        </is>
      </c>
      <c r="L47" s="2" t="inlineStr">
        <is>
          <t>solvent</t>
        </is>
      </c>
    </row>
    <row r="48">
      <c r="A48" s="2" t="inlineStr">
        <is>
          <t>test7</t>
        </is>
      </c>
      <c r="B48" s="2" t="inlineStr">
        <is>
          <t>table7</t>
        </is>
      </c>
      <c r="C48" s="2" t="inlineStr">
        <is>
          <t>pMMA-pPEGMEA</t>
        </is>
      </c>
      <c r="D48" s="2" t="inlineStr">
        <is>
          <t>poly(methyl methacrylate-block-poly(ethylene glycol) methyl ether methacrylate)</t>
        </is>
      </c>
      <c r="E48" s="2" t="inlineStr">
        <is>
          <t>deuterated acetone</t>
        </is>
      </c>
      <c r="F48" s="2" t="inlineStr">
        <is>
          <t>acetone-d6</t>
        </is>
      </c>
      <c r="G48" s="3" t="n"/>
      <c r="H48" s="3" t="n">
        <v>-7.797</v>
      </c>
      <c r="I48" s="2" t="inlineStr">
        <is>
          <t>log10</t>
        </is>
      </c>
      <c r="J48" s="3" t="n">
        <v>0.4355</v>
      </c>
      <c r="K48" s="2" t="inlineStr">
        <is>
          <t>none</t>
        </is>
      </c>
      <c r="L48" s="2" t="inlineStr">
        <is>
          <t>None</t>
        </is>
      </c>
      <c r="R48" s="2" t="inlineStr">
        <is>
          <t>poly(methyl methacrylate-block-poly(ethylene glycol) methyl ether methacrylate) in acetone-d6 (test7)</t>
        </is>
      </c>
      <c r="S48" s="3">
        <f>H48-J48*3</f>
        <v/>
      </c>
      <c r="T48" s="3">
        <f>H48-J48*6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8" customWidth="1" min="4" max="4"/>
    <col width="19" customWidth="1" min="5" max="5"/>
  </cols>
  <sheetData>
    <row r="1">
      <c r="A1" s="1" t="inlineStr">
        <is>
          <t>Source Paper</t>
        </is>
      </c>
      <c r="B1" s="1" t="inlineStr">
        <is>
          <t>Table</t>
        </is>
      </c>
      <c r="C1" s="1" t="inlineStr">
        <is>
          <t>Field Name</t>
        </is>
      </c>
      <c r="D1" s="1" t="inlineStr">
        <is>
          <t>Raw Value</t>
        </is>
      </c>
      <c r="E1" s="1" t="inlineStr">
        <is>
          <t>Failure Reason</t>
        </is>
      </c>
    </row>
    <row r="2">
      <c r="A2" s="2" t="inlineStr">
        <is>
          <t>test5</t>
        </is>
      </c>
      <c r="B2" s="2" t="inlineStr">
        <is>
          <t>table1</t>
        </is>
      </c>
      <c r="C2" s="2" t="inlineStr">
        <is>
          <t>polymer_name</t>
        </is>
      </c>
      <c r="D2" s="2" t="inlineStr">
        <is>
          <t xml:space="preserve"> uma own's </t>
        </is>
      </c>
      <c r="E2" s="2" t="inlineStr">
        <is>
          <t>AI marked as N/A</t>
        </is>
      </c>
    </row>
    <row r="3">
      <c r="A3" s="2" t="inlineStr">
        <is>
          <t>test7</t>
        </is>
      </c>
      <c r="B3" s="2" t="inlineStr">
        <is>
          <t>table1</t>
        </is>
      </c>
      <c r="C3" s="2" t="inlineStr">
        <is>
          <t>solvent</t>
        </is>
      </c>
      <c r="D3" s="2" t="inlineStr">
        <is>
          <t>D x η corrected</t>
        </is>
      </c>
      <c r="E3" s="2" t="inlineStr">
        <is>
          <t>AI marked as N/A</t>
        </is>
      </c>
    </row>
    <row r="4">
      <c r="A4" s="2" t="inlineStr">
        <is>
          <t>test7</t>
        </is>
      </c>
      <c r="B4" s="2" t="inlineStr">
        <is>
          <t>table3</t>
        </is>
      </c>
      <c r="C4" s="2" t="inlineStr">
        <is>
          <t>solvent</t>
        </is>
      </c>
      <c r="D4" s="2" t="inlineStr">
        <is>
          <t>D x η corrected</t>
        </is>
      </c>
      <c r="E4" s="2" t="inlineStr">
        <is>
          <t>AI marked as N/A</t>
        </is>
      </c>
    </row>
    <row r="5">
      <c r="A5" s="2" t="inlineStr">
        <is>
          <t>test7</t>
        </is>
      </c>
      <c r="B5" s="2" t="inlineStr">
        <is>
          <t>table6</t>
        </is>
      </c>
      <c r="C5" s="2" t="inlineStr">
        <is>
          <t>solvent</t>
        </is>
      </c>
      <c r="D5" s="2" t="inlineStr">
        <is>
          <t>D x η corrected</t>
        </is>
      </c>
      <c r="E5" s="2" t="inlineStr">
        <is>
          <t>AI marked as 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2026-07-16T13:57:19Z</dcterms:created>
  <dcterms:modified xmlns:dcterms="http://purl.org/dc/terms/" xmlns:xsi="http://www.w3.org/2001/XMLSchema-instance" xsi:type="dcterms:W3CDTF">2026-07-16T13:57:19Z</dcterms:modified>
</cp:coreProperties>
</file>