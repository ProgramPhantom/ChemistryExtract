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1F497D"/>
      <sz val="11"/>
    </font>
    <font>
      <name val="Segoe UI"/>
      <b val="1"/>
      <color rgb="00333333"/>
      <sz val="10"/>
    </font>
    <font>
      <name val="Segoe UI"/>
      <color rgb="00000000"/>
      <sz val="10"/>
    </font>
    <font>
      <name val="Segoe UI"/>
      <i val="1"/>
      <color rgb="00333333"/>
      <sz val="10"/>
    </font>
    <font>
      <name val="Segoe UI"/>
      <b val="1"/>
      <color rgb="00FFFFFF"/>
      <sz val="10"/>
    </font>
    <font>
      <name val="Segoe UI"/>
      <b val="1"/>
      <color rgb="007F7F7F"/>
      <sz val="9"/>
    </font>
    <font>
      <name val="Segoe UI"/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  <fill>
      <patternFill patternType="solid">
        <fgColor rgb="00366092"/>
        <bgColor rgb="00366092"/>
      </patternFill>
    </fill>
  </fills>
  <borders count="4">
    <border>
      <left/>
      <right/>
      <top/>
      <bottom/>
      <diagonal/>
    </border>
    <border>
      <bottom style="medium">
        <color rgb="001F497D"/>
      </bottom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2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right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strRef>
              <f>'Table 1'!E22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1'!$F$22:$G$22</f>
            </numRef>
          </val>
        </ser>
        <ser>
          <idx val="1"/>
          <order val="1"/>
          <tx>
            <strRef>
              <f>'Table 1'!E23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1'!$F$23:$G$23</f>
            </numRef>
          </val>
        </ser>
        <ser>
          <idx val="2"/>
          <order val="2"/>
          <tx>
            <strRef>
              <f>'Table 1'!E24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1'!$F$24:$G$24</f>
            </numRef>
          </val>
        </ser>
        <ser>
          <idx val="3"/>
          <order val="3"/>
          <tx>
            <strRef>
              <f>'Table 1'!E25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1'!$F$25:$G$25</f>
            </numRef>
          </val>
        </ser>
        <ser>
          <idx val="4"/>
          <order val="4"/>
          <tx>
            <strRef>
              <f>'Table 1'!E26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1'!$F$26:$G$26</f>
            </numRef>
          </val>
        </ser>
        <ser>
          <idx val="5"/>
          <order val="5"/>
          <tx>
            <strRef>
              <f>'Table 1'!E27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1'!$F$21:$G$21</f>
            </numRef>
          </cat>
          <val>
            <numRef>
              <f>'Table 1'!$F$27:$G$27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9.109999999999999"/>
          <min val="-11.3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strRef>
              <f>'Table 2'!E22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2'!$F$21:$G$21</f>
            </numRef>
          </cat>
          <val>
            <numRef>
              <f>'Table 2'!$F$22:$G$22</f>
            </numRef>
          </val>
        </ser>
        <ser>
          <idx val="1"/>
          <order val="1"/>
          <tx>
            <strRef>
              <f>'Table 2'!E23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2'!$F$21:$G$21</f>
            </numRef>
          </cat>
          <val>
            <numRef>
              <f>'Table 2'!$F$23:$G$23</f>
            </numRef>
          </val>
        </ser>
        <ser>
          <idx val="2"/>
          <order val="2"/>
          <tx>
            <strRef>
              <f>'Table 2'!E24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2'!$F$21:$G$21</f>
            </numRef>
          </cat>
          <val>
            <numRef>
              <f>'Table 2'!$F$24:$G$24</f>
            </numRef>
          </val>
        </ser>
        <ser>
          <idx val="3"/>
          <order val="3"/>
          <tx>
            <strRef>
              <f>'Table 2'!E25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2'!$F$21:$G$21</f>
            </numRef>
          </cat>
          <val>
            <numRef>
              <f>'Table 2'!$F$25:$G$25</f>
            </numRef>
          </val>
        </ser>
        <ser>
          <idx val="4"/>
          <order val="4"/>
          <tx>
            <strRef>
              <f>'Table 2'!E26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2'!$F$21:$G$21</f>
            </numRef>
          </cat>
          <val>
            <numRef>
              <f>'Table 2'!$F$26:$G$26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970000000000001"/>
          <min val="-10.9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strRef>
              <f>'Table 3'!E22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3'!$F$21:$G$21</f>
            </numRef>
          </cat>
          <val>
            <numRef>
              <f>'Table 3'!$F$22:$G$22</f>
            </numRef>
          </val>
        </ser>
        <ser>
          <idx val="1"/>
          <order val="1"/>
          <tx>
            <strRef>
              <f>'Table 3'!E23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3'!$F$21:$G$21</f>
            </numRef>
          </cat>
          <val>
            <numRef>
              <f>'Table 3'!$F$23:$G$23</f>
            </numRef>
          </val>
        </ser>
        <ser>
          <idx val="2"/>
          <order val="2"/>
          <tx>
            <strRef>
              <f>'Table 3'!E24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3'!$F$21:$G$21</f>
            </numRef>
          </cat>
          <val>
            <numRef>
              <f>'Table 3'!$F$24:$G$24</f>
            </numRef>
          </val>
        </ser>
        <ser>
          <idx val="3"/>
          <order val="3"/>
          <tx>
            <strRef>
              <f>'Table 3'!E25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3'!$F$21:$G$21</f>
            </numRef>
          </cat>
          <val>
            <numRef>
              <f>'Table 3'!$F$25:$G$25</f>
            </numRef>
          </val>
        </ser>
        <ser>
          <idx val="4"/>
          <order val="4"/>
          <tx>
            <strRef>
              <f>'Table 3'!E26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3'!$F$21:$G$21</f>
            </numRef>
          </cat>
          <val>
            <numRef>
              <f>'Table 3'!$F$26:$G$26</f>
            </numRef>
          </val>
        </ser>
        <ser>
          <idx val="5"/>
          <order val="5"/>
          <tx>
            <strRef>
              <f>'Table 3'!E27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3'!$F$21:$G$21</f>
            </numRef>
          </cat>
          <val>
            <numRef>
              <f>'Table 3'!$F$27:$G$27</f>
            </numRef>
          </val>
        </ser>
        <ser>
          <idx val="6"/>
          <order val="6"/>
          <tx>
            <strRef>
              <f>'Table 3'!E28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'Table 3'!$F$21:$G$21</f>
            </numRef>
          </cat>
          <val>
            <numRef>
              <f>'Table 3'!$F$28:$G$28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9.07"/>
          <min val="-11.27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5" customWidth="1" min="3" max="3"/>
    <col width="29" customWidth="1" min="4" max="4"/>
    <col width="23" customWidth="1" min="5" max="5"/>
    <col width="12" customWidth="1" min="6" max="6"/>
    <col width="12" customWidth="1" min="7" max="7"/>
  </cols>
  <sheetData>
    <row r="1">
      <c r="A1" s="1" t="inlineStr">
        <is>
          <t>test5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/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/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Not applicable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PS, pMA, pMMA, dextrane, pullane, PEG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Literature data on DOSY molecular weight calibrations for various polymers in different solvents.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>
        <is>
          <t>lg(b'/m^2 s^-1): 7.70, 7.72, 7.53, 8.14, 8.2, 8.39, v: 0.54, 0.50, 0.56, 0.47, 0.49, 0.47</t>
        </is>
      </c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No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Yes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Yes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FLORY PARAMETERS (INTERPRETATION)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>
        <is>
          <t>Polymer</t>
        </is>
      </c>
      <c r="B21" s="9" t="inlineStr">
        <is>
          <t>Solvent</t>
        </is>
      </c>
      <c r="C21" s="9" t="inlineStr">
        <is>
          <t>c_value (log Constant)</t>
        </is>
      </c>
      <c r="D21" s="9" t="inlineStr">
        <is>
          <t>v_value (Scaling Exponent)</t>
        </is>
      </c>
      <c r="E21" s="10" t="inlineStr">
        <is>
          <t>Series</t>
        </is>
      </c>
      <c r="F21" s="11" t="n">
        <v>3</v>
      </c>
      <c r="G21" s="11" t="n">
        <v>6</v>
      </c>
    </row>
    <row r="22">
      <c r="A22" s="12" t="inlineStr">
        <is>
          <t>PS</t>
        </is>
      </c>
      <c r="B22" s="12" t="inlineStr">
        <is>
          <t>benzene</t>
        </is>
      </c>
      <c r="C22" s="13" t="n">
        <v>-7.7</v>
      </c>
      <c r="D22" s="13" t="n">
        <v>0.54</v>
      </c>
      <c r="E22" s="14" t="inlineStr">
        <is>
          <t>PS in benzene</t>
        </is>
      </c>
      <c r="F22" s="15">
        <f>C22-D22*3</f>
        <v/>
      </c>
      <c r="G22" s="15">
        <f>C22-D22*6</f>
        <v/>
      </c>
    </row>
    <row r="23">
      <c r="A23" s="12" t="inlineStr">
        <is>
          <t>pMA</t>
        </is>
      </c>
      <c r="B23" s="12" t="inlineStr">
        <is>
          <t>toluene</t>
        </is>
      </c>
      <c r="C23" s="13" t="n">
        <v>-7.72</v>
      </c>
      <c r="D23" s="13" t="n">
        <v>0.5</v>
      </c>
      <c r="E23" s="14" t="inlineStr">
        <is>
          <t>pMA in toluene</t>
        </is>
      </c>
      <c r="F23" s="15">
        <f>C23-D23*3</f>
        <v/>
      </c>
      <c r="G23" s="15">
        <f>C23-D23*6</f>
        <v/>
      </c>
    </row>
    <row r="24">
      <c r="A24" s="12" t="inlineStr">
        <is>
          <t xml:space="preserve"> uma own's </t>
        </is>
      </c>
      <c r="B24" s="12" t="inlineStr">
        <is>
          <t>CDCl3</t>
        </is>
      </c>
      <c r="C24" s="13" t="n">
        <v>-7.53</v>
      </c>
      <c r="D24" s="13" t="n">
        <v>0.5600000000000001</v>
      </c>
      <c r="E24" s="14" t="inlineStr">
        <is>
          <t xml:space="preserve"> uma own's  in CDCl3</t>
        </is>
      </c>
      <c r="F24" s="15">
        <f>C24-D24*3</f>
        <v/>
      </c>
      <c r="G24" s="15">
        <f>C24-D24*6</f>
        <v/>
      </c>
    </row>
    <row r="25">
      <c r="A25" s="12" t="inlineStr">
        <is>
          <t>dextrane</t>
        </is>
      </c>
      <c r="B25" s="12" t="inlineStr">
        <is>
          <t>D2O</t>
        </is>
      </c>
      <c r="C25" s="13" t="n">
        <v>-8.140000000000001</v>
      </c>
      <c r="D25" s="13" t="n">
        <v>0.47</v>
      </c>
      <c r="E25" s="14" t="inlineStr">
        <is>
          <t>dextrane in D2O</t>
        </is>
      </c>
      <c r="F25" s="15">
        <f>C25-D25*3</f>
        <v/>
      </c>
      <c r="G25" s="15">
        <f>C25-D25*6</f>
        <v/>
      </c>
    </row>
    <row r="26">
      <c r="A26" s="12" t="inlineStr">
        <is>
          <t>pullane</t>
        </is>
      </c>
      <c r="B26" s="12" t="inlineStr">
        <is>
          <t>D2O</t>
        </is>
      </c>
      <c r="C26" s="13" t="n">
        <v>-8.199999999999999</v>
      </c>
      <c r="D26" s="13" t="n">
        <v>0.49</v>
      </c>
      <c r="E26" s="14" t="inlineStr">
        <is>
          <t>pullane in D2O</t>
        </is>
      </c>
      <c r="F26" s="15">
        <f>C26-D26*3</f>
        <v/>
      </c>
      <c r="G26" s="15">
        <f>C26-D26*6</f>
        <v/>
      </c>
    </row>
    <row r="27">
      <c r="A27" s="12" t="inlineStr">
        <is>
          <t>PEG [a]</t>
        </is>
      </c>
      <c r="B27" s="12" t="inlineStr">
        <is>
          <t>D2O</t>
        </is>
      </c>
      <c r="C27" s="13" t="n">
        <v>-8.390000000000001</v>
      </c>
      <c r="D27" s="13" t="n">
        <v>0.47</v>
      </c>
      <c r="E27" s="14" t="inlineStr">
        <is>
          <t>PEG [a] in D2O</t>
        </is>
      </c>
      <c r="F27" s="15">
        <f>C27-D27*3</f>
        <v/>
      </c>
      <c r="G27" s="15">
        <f>C27-D27*6</f>
        <v/>
      </c>
    </row>
    <row r="28"/>
    <row r="29"/>
    <row r="30">
      <c r="A30" s="3" t="inlineStr">
        <is>
          <t>EXTRACTED RAW TABLE DATA</t>
        </is>
      </c>
      <c r="B30" s="4" t="n"/>
      <c r="C30" s="4" t="n"/>
      <c r="D30" s="4" t="n"/>
      <c r="E30" s="4" t="n"/>
      <c r="F30" s="4" t="n"/>
      <c r="G30" s="4" t="n"/>
    </row>
    <row r="31">
      <c r="A31" s="9" t="inlineStr"/>
      <c r="B31" s="9" t="inlineStr">
        <is>
          <t>Polymer</t>
        </is>
      </c>
      <c r="C31" s="9" t="inlineStr">
        <is>
          <t>lg(b ' /m 2 s 1 )</t>
        </is>
      </c>
      <c r="D31" s="9" t="inlineStr">
        <is>
          <t>v</t>
        </is>
      </c>
      <c r="E31" s="9" t="inlineStr">
        <is>
          <t>Solvent, ref</t>
        </is>
      </c>
    </row>
    <row r="32">
      <c r="A32" s="13" t="n">
        <v>0</v>
      </c>
      <c r="B32" s="12" t="inlineStr">
        <is>
          <t>PS</t>
        </is>
      </c>
      <c r="C32" s="13" t="n">
        <v>7.7</v>
      </c>
      <c r="D32" s="13" t="n">
        <v>0.54</v>
      </c>
      <c r="E32" s="12" t="inlineStr">
        <is>
          <t>benzene, [11]</t>
        </is>
      </c>
    </row>
    <row r="33">
      <c r="A33" s="13" t="n">
        <v>1</v>
      </c>
      <c r="B33" s="12" t="inlineStr">
        <is>
          <t>pMA</t>
        </is>
      </c>
      <c r="C33" s="13" t="n">
        <v>7.72</v>
      </c>
      <c r="D33" s="13" t="n">
        <v>0.5</v>
      </c>
      <c r="E33" s="12" t="inlineStr">
        <is>
          <t>toluene, [13]</t>
        </is>
      </c>
    </row>
    <row r="34">
      <c r="A34" s="13" t="n">
        <v>2</v>
      </c>
      <c r="B34" s="12" t="inlineStr">
        <is>
          <t>pMMA</t>
        </is>
      </c>
      <c r="C34" s="13" t="n">
        <v>7.53</v>
      </c>
      <c r="D34" s="13" t="n">
        <v>0.5600000000000001</v>
      </c>
      <c r="E34" s="12" t="inlineStr">
        <is>
          <t>CDCl 3 , [11]</t>
        </is>
      </c>
    </row>
    <row r="35">
      <c r="A35" s="13" t="n">
        <v>3</v>
      </c>
      <c r="B35" s="12" t="inlineStr">
        <is>
          <t>dextrane</t>
        </is>
      </c>
      <c r="C35" s="13" t="n">
        <v>8.140000000000001</v>
      </c>
      <c r="D35" s="13" t="n">
        <v>0.47</v>
      </c>
      <c r="E35" s="12" t="inlineStr">
        <is>
          <t>D 2 O, [11]</t>
        </is>
      </c>
    </row>
    <row r="36">
      <c r="A36" s="13" t="n">
        <v>4</v>
      </c>
      <c r="B36" s="12" t="inlineStr">
        <is>
          <t>pullane</t>
        </is>
      </c>
      <c r="C36" s="13" t="n">
        <v>8.199999999999999</v>
      </c>
      <c r="D36" s="13" t="n">
        <v>0.49</v>
      </c>
      <c r="E36" s="12" t="inlineStr">
        <is>
          <t>D 2 O, [15]</t>
        </is>
      </c>
    </row>
    <row r="37">
      <c r="A37" s="13" t="n">
        <v>5</v>
      </c>
      <c r="B37" s="12" t="inlineStr">
        <is>
          <t>PEG [a]</t>
        </is>
      </c>
      <c r="C37" s="13" t="n">
        <v>8.390000000000001</v>
      </c>
      <c r="D37" s="13" t="n">
        <v>0.47</v>
      </c>
      <c r="E37" s="12" t="inlineStr">
        <is>
          <t>D 2 O, [14]</t>
        </is>
      </c>
    </row>
  </sheetData>
  <mergeCells count="17">
    <mergeCell ref="A13:G13"/>
    <mergeCell ref="B16:G16"/>
    <mergeCell ref="B10:G10"/>
    <mergeCell ref="A1:G2"/>
    <mergeCell ref="B5:G5"/>
    <mergeCell ref="B14:G14"/>
    <mergeCell ref="B17:G17"/>
    <mergeCell ref="B9:G9"/>
    <mergeCell ref="A4:G4"/>
    <mergeCell ref="B8:G8"/>
    <mergeCell ref="A20:G20"/>
    <mergeCell ref="A30:G30"/>
    <mergeCell ref="B18:G18"/>
    <mergeCell ref="B15:G15"/>
    <mergeCell ref="B7:G7"/>
    <mergeCell ref="B11:G11"/>
    <mergeCell ref="B6:G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5" customWidth="1" min="3" max="3"/>
    <col width="29" customWidth="1" min="4" max="4"/>
    <col width="28" customWidth="1" min="5" max="5"/>
    <col width="12" customWidth="1" min="6" max="6"/>
    <col width="12" customWidth="1" min="7" max="7"/>
  </cols>
  <sheetData>
    <row r="1">
      <c r="A1" s="1" t="inlineStr">
        <is>
          <t>test5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/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/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Not applicable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polystyrene, benzene-d6, CDCl3, acetone-d6, toluene-d8, THF-d8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Calibration coefficients obtained for polystyrene in various deuterated solvents using DOSY NMR.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/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No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Yes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Yes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FLORY PARAMETERS (INTERPRETATION)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>
        <is>
          <t>Polymer</t>
        </is>
      </c>
      <c r="B21" s="9" t="inlineStr">
        <is>
          <t>Solvent</t>
        </is>
      </c>
      <c r="C21" s="9" t="inlineStr">
        <is>
          <t>c_value (log Constant)</t>
        </is>
      </c>
      <c r="D21" s="9" t="inlineStr">
        <is>
          <t>v_value (Scaling Exponent)</t>
        </is>
      </c>
      <c r="E21" s="10" t="inlineStr">
        <is>
          <t>Series</t>
        </is>
      </c>
      <c r="F21" s="11" t="n">
        <v>3</v>
      </c>
      <c r="G21" s="11" t="n">
        <v>6</v>
      </c>
    </row>
    <row r="22">
      <c r="A22" s="12" t="inlineStr">
        <is>
          <t>polystyrene</t>
        </is>
      </c>
      <c r="B22" s="12" t="inlineStr">
        <is>
          <t>benzene-d6</t>
        </is>
      </c>
      <c r="C22" s="13" t="n">
        <v>-7.94</v>
      </c>
      <c r="D22" s="13" t="n">
        <v>0.49</v>
      </c>
      <c r="E22" s="14" t="inlineStr">
        <is>
          <t>polystyrene in benzene-d6</t>
        </is>
      </c>
      <c r="F22" s="15">
        <f>C22-D22*3</f>
        <v/>
      </c>
      <c r="G22" s="15">
        <f>C22-D22*6</f>
        <v/>
      </c>
    </row>
    <row r="23">
      <c r="A23" s="12" t="inlineStr">
        <is>
          <t>polystyrene</t>
        </is>
      </c>
      <c r="B23" s="12" t="inlineStr">
        <is>
          <t>CDCl3</t>
        </is>
      </c>
      <c r="C23" s="13" t="n">
        <v>-7.97</v>
      </c>
      <c r="D23" s="13" t="n">
        <v>0.46</v>
      </c>
      <c r="E23" s="14" t="inlineStr">
        <is>
          <t>polystyrene in CDCl3</t>
        </is>
      </c>
      <c r="F23" s="15">
        <f>C23-D23*3</f>
        <v/>
      </c>
      <c r="G23" s="15">
        <f>C23-D23*6</f>
        <v/>
      </c>
    </row>
    <row r="24">
      <c r="A24" s="12" t="inlineStr">
        <is>
          <t>polystyrene</t>
        </is>
      </c>
      <c r="B24" s="12" t="inlineStr">
        <is>
          <t>acetone-d6</t>
        </is>
      </c>
      <c r="C24" s="13" t="n">
        <v>-7.78</v>
      </c>
      <c r="D24" s="13" t="n">
        <v>0.43</v>
      </c>
      <c r="E24" s="14" t="inlineStr">
        <is>
          <t>polystyrene in acetone-d6</t>
        </is>
      </c>
      <c r="F24" s="15">
        <f>C24-D24*3</f>
        <v/>
      </c>
      <c r="G24" s="15">
        <f>C24-D24*6</f>
        <v/>
      </c>
    </row>
    <row r="25">
      <c r="A25" s="12" t="inlineStr">
        <is>
          <t>polystyrene</t>
        </is>
      </c>
      <c r="B25" s="12" t="inlineStr">
        <is>
          <t>toluene-d8</t>
        </is>
      </c>
      <c r="C25" s="13" t="n">
        <v>-7.82</v>
      </c>
      <c r="D25" s="13" t="n">
        <v>0.51</v>
      </c>
      <c r="E25" s="14" t="inlineStr">
        <is>
          <t>polystyrene in toluene-d8</t>
        </is>
      </c>
      <c r="F25" s="15">
        <f>C25-D25*3</f>
        <v/>
      </c>
      <c r="G25" s="15">
        <f>C25-D25*6</f>
        <v/>
      </c>
    </row>
    <row r="26">
      <c r="A26" s="12" t="inlineStr">
        <is>
          <t>polystyrene</t>
        </is>
      </c>
      <c r="B26" s="12" t="inlineStr">
        <is>
          <t>THF-d8</t>
        </is>
      </c>
      <c r="C26" s="13" t="n">
        <v>-8.07</v>
      </c>
      <c r="D26" s="13" t="n">
        <v>0.42</v>
      </c>
      <c r="E26" s="14" t="inlineStr">
        <is>
          <t>polystyrene in THF-d8</t>
        </is>
      </c>
      <c r="F26" s="15">
        <f>C26-D26*3</f>
        <v/>
      </c>
      <c r="G26" s="15">
        <f>C26-D26*6</f>
        <v/>
      </c>
    </row>
    <row r="27"/>
    <row r="28"/>
    <row r="29">
      <c r="A29" s="3" t="inlineStr">
        <is>
          <t>EXTRACTED RAW TABLE DATA</t>
        </is>
      </c>
      <c r="B29" s="4" t="n"/>
      <c r="C29" s="4" t="n"/>
      <c r="D29" s="4" t="n"/>
      <c r="E29" s="4" t="n"/>
      <c r="F29" s="4" t="n"/>
      <c r="G29" s="4" t="n"/>
    </row>
    <row r="30">
      <c r="A30" s="9" t="inlineStr"/>
      <c r="B30" s="9" t="inlineStr">
        <is>
          <t>Solvent</t>
        </is>
      </c>
      <c r="C30" s="9" t="inlineStr">
        <is>
          <t>lg(b ' /m 2 s 1 )</t>
        </is>
      </c>
      <c r="D30" s="9" t="inlineStr">
        <is>
          <t>lg(c/m 2 s 1 )</t>
        </is>
      </c>
      <c r="E30" s="9" t="inlineStr">
        <is>
          <t>V</t>
        </is>
      </c>
    </row>
    <row r="31">
      <c r="A31" s="13" t="n">
        <v>0</v>
      </c>
      <c r="B31" s="12" t="inlineStr">
        <is>
          <t>benzene-d6</t>
        </is>
      </c>
      <c r="C31" s="12" t="inlineStr">
        <is>
          <t>7.94 � 0.02</t>
        </is>
      </c>
      <c r="D31" s="12" t="inlineStr">
        <is>
          <t>8.15 � 0.02</t>
        </is>
      </c>
      <c r="E31" s="12" t="inlineStr">
        <is>
          <t>0.49 � 0.02</t>
        </is>
      </c>
    </row>
    <row r="32">
      <c r="A32" s="13" t="n">
        <v>1</v>
      </c>
      <c r="B32" s="12" t="inlineStr">
        <is>
          <t>CDCl 3</t>
        </is>
      </c>
      <c r="C32" s="12" t="inlineStr">
        <is>
          <t>7.97 � 0.01</t>
        </is>
      </c>
      <c r="D32" s="12" t="inlineStr">
        <is>
          <t>8.22 � 0.01</t>
        </is>
      </c>
      <c r="E32" s="12" t="inlineStr">
        <is>
          <t>0.46 � 0.01</t>
        </is>
      </c>
    </row>
    <row r="33">
      <c r="A33" s="13" t="n">
        <v>2</v>
      </c>
      <c r="B33" s="12" t="inlineStr">
        <is>
          <t>acetone-d6</t>
        </is>
      </c>
      <c r="C33" s="12" t="inlineStr">
        <is>
          <t>7.78 � 0.02</t>
        </is>
      </c>
      <c r="D33" s="12" t="inlineStr">
        <is>
          <t>8.31 � 0.02</t>
        </is>
      </c>
      <c r="E33" s="12" t="inlineStr">
        <is>
          <t>0.43 � 0.02</t>
        </is>
      </c>
    </row>
    <row r="34">
      <c r="A34" s="13" t="n">
        <v>3</v>
      </c>
      <c r="B34" s="12" t="inlineStr">
        <is>
          <t>toluene-d8</t>
        </is>
      </c>
      <c r="C34" s="12" t="inlineStr">
        <is>
          <t>7.82 � 0.01</t>
        </is>
      </c>
      <c r="D34" s="12" t="inlineStr">
        <is>
          <t>8.07 � 0.01</t>
        </is>
      </c>
      <c r="E34" s="12" t="inlineStr">
        <is>
          <t>0.51 � 0.01</t>
        </is>
      </c>
    </row>
    <row r="35">
      <c r="A35" s="13" t="n">
        <v>4</v>
      </c>
      <c r="B35" s="12" t="inlineStr">
        <is>
          <t>THF-d8</t>
        </is>
      </c>
      <c r="C35" s="12" t="inlineStr">
        <is>
          <t>8.07 � 0.01</t>
        </is>
      </c>
      <c r="D35" s="12" t="inlineStr">
        <is>
          <t>8.40 � 0.01</t>
        </is>
      </c>
      <c r="E35" s="12" t="inlineStr">
        <is>
          <t>0.42 � 0.02</t>
        </is>
      </c>
    </row>
  </sheetData>
  <mergeCells count="17">
    <mergeCell ref="A13:G13"/>
    <mergeCell ref="B16:G16"/>
    <mergeCell ref="B10:G10"/>
    <mergeCell ref="A1:G2"/>
    <mergeCell ref="B5:G5"/>
    <mergeCell ref="B14:G14"/>
    <mergeCell ref="B17:G17"/>
    <mergeCell ref="B9:G9"/>
    <mergeCell ref="A4:G4"/>
    <mergeCell ref="B8:G8"/>
    <mergeCell ref="A20:G20"/>
    <mergeCell ref="B18:G18"/>
    <mergeCell ref="A29:G29"/>
    <mergeCell ref="B15:G15"/>
    <mergeCell ref="B7:G7"/>
    <mergeCell ref="B11:G11"/>
    <mergeCell ref="B6:G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5" customWidth="1" min="3" max="3"/>
    <col width="29" customWidth="1" min="4" max="4"/>
    <col width="39" customWidth="1" min="5" max="5"/>
    <col width="12" customWidth="1" min="6" max="6"/>
    <col width="12" customWidth="1" min="7" max="7"/>
  </cols>
  <sheetData>
    <row r="1">
      <c r="A1" s="1" t="inlineStr">
        <is>
          <t>test5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PAPER METADATA &amp; EXPERIMENTAL CONDITIONS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Authors</t>
        </is>
      </c>
      <c r="B5" s="6" t="inlineStr"/>
      <c r="C5" s="7" t="n"/>
      <c r="D5" s="7" t="n"/>
      <c r="E5" s="7" t="n"/>
      <c r="F5" s="7" t="n"/>
      <c r="G5" s="7" t="n"/>
    </row>
    <row r="6">
      <c r="A6" s="5" t="inlineStr">
        <is>
          <t>DOI</t>
        </is>
      </c>
      <c r="B6" s="6" t="inlineStr"/>
      <c r="C6" s="7" t="n"/>
      <c r="D6" s="7" t="n"/>
      <c r="E6" s="7" t="n"/>
      <c r="F6" s="7" t="n"/>
      <c r="G6" s="7" t="n"/>
    </row>
    <row r="7">
      <c r="A7" s="5" t="inlineStr">
        <is>
          <t>Temperature</t>
        </is>
      </c>
      <c r="B7" s="6" t="inlineStr">
        <is>
          <t>Not applicable</t>
        </is>
      </c>
      <c r="C7" s="7" t="n"/>
      <c r="D7" s="7" t="n"/>
      <c r="E7" s="7" t="n"/>
      <c r="F7" s="7" t="n"/>
      <c r="G7" s="7" t="n"/>
    </row>
    <row r="8">
      <c r="A8" s="5" t="inlineStr">
        <is>
          <t>Pressure</t>
        </is>
      </c>
      <c r="B8" s="6" t="inlineStr">
        <is>
          <t>Not applicable</t>
        </is>
      </c>
      <c r="C8" s="7" t="n"/>
      <c r="D8" s="7" t="n"/>
      <c r="E8" s="7" t="n"/>
      <c r="F8" s="7" t="n"/>
      <c r="G8" s="7" t="n"/>
    </row>
    <row r="9">
      <c r="A9" s="5" t="inlineStr">
        <is>
          <t>Chemicals</t>
        </is>
      </c>
      <c r="B9" s="6" t="inlineStr">
        <is>
          <t>poly(ethylene glycol), D2O, methanol-d4, acetone-d6, THF-d8, CDCl3, ACN-d3</t>
        </is>
      </c>
      <c r="C9" s="7" t="n"/>
      <c r="D9" s="7" t="n"/>
      <c r="E9" s="7" t="n"/>
      <c r="F9" s="7" t="n"/>
      <c r="G9" s="7" t="n"/>
    </row>
    <row r="10" ht="45" customHeight="1">
      <c r="A10" s="5" t="inlineStr">
        <is>
          <t>Description</t>
        </is>
      </c>
      <c r="B10" s="8" t="inlineStr">
        <is>
          <t>Calibration coefficients obtained for poly(ethylene glycol) for a variety of deuterated solvents using DOSY.</t>
        </is>
      </c>
      <c r="C10" s="7" t="n"/>
      <c r="D10" s="7" t="n"/>
      <c r="E10" s="7" t="n"/>
      <c r="F10" s="7" t="n"/>
      <c r="G10" s="7" t="n"/>
    </row>
    <row r="11">
      <c r="A11" s="5" t="inlineStr">
        <is>
          <t>Other Stats</t>
        </is>
      </c>
      <c r="B11" s="6" t="inlineStr"/>
      <c r="C11" s="7" t="n"/>
      <c r="D11" s="7" t="n"/>
      <c r="E11" s="7" t="n"/>
      <c r="F11" s="7" t="n"/>
      <c r="G11" s="7" t="n"/>
    </row>
    <row r="12"/>
    <row r="13">
      <c r="A13" s="3" t="inlineStr">
        <is>
          <t>TABLE CATEGORISATION</t>
        </is>
      </c>
      <c r="B13" s="4" t="n"/>
      <c r="C13" s="4" t="n"/>
      <c r="D13" s="4" t="n"/>
      <c r="E13" s="4" t="n"/>
      <c r="F13" s="4" t="n"/>
      <c r="G13" s="4" t="n"/>
    </row>
    <row r="14">
      <c r="A14" s="5" t="inlineStr">
        <is>
          <t>Contains Scientific Data</t>
        </is>
      </c>
      <c r="B14" s="6" t="inlineStr">
        <is>
          <t>Yes</t>
        </is>
      </c>
      <c r="C14" s="7" t="n"/>
      <c r="D14" s="7" t="n"/>
      <c r="E14" s="7" t="n"/>
      <c r="F14" s="7" t="n"/>
      <c r="G14" s="7" t="n"/>
    </row>
    <row r="15">
      <c r="A15" s="5" t="inlineStr">
        <is>
          <t>Contains Raw Diffusion Data</t>
        </is>
      </c>
      <c r="B15" s="6" t="inlineStr">
        <is>
          <t>No</t>
        </is>
      </c>
      <c r="C15" s="7" t="n"/>
      <c r="D15" s="7" t="n"/>
      <c r="E15" s="7" t="n"/>
      <c r="F15" s="7" t="n"/>
      <c r="G15" s="7" t="n"/>
    </row>
    <row r="16">
      <c r="A16" s="5" t="inlineStr">
        <is>
          <t>Contains Mark-Houwink Parameters</t>
        </is>
      </c>
      <c r="B16" s="6" t="inlineStr">
        <is>
          <t>No</t>
        </is>
      </c>
      <c r="C16" s="7" t="n"/>
      <c r="D16" s="7" t="n"/>
      <c r="E16" s="7" t="n"/>
      <c r="F16" s="7" t="n"/>
      <c r="G16" s="7" t="n"/>
    </row>
    <row r="17">
      <c r="A17" s="5" t="inlineStr">
        <is>
          <t>Contains Flory Parameters</t>
        </is>
      </c>
      <c r="B17" s="6" t="inlineStr">
        <is>
          <t>Yes</t>
        </is>
      </c>
      <c r="C17" s="7" t="n"/>
      <c r="D17" s="7" t="n"/>
      <c r="E17" s="7" t="n"/>
      <c r="F17" s="7" t="n"/>
      <c r="G17" s="7" t="n"/>
    </row>
    <row r="18">
      <c r="A18" s="5" t="inlineStr">
        <is>
          <t>Contains Polymer Diffusion Coefficients</t>
        </is>
      </c>
      <c r="B18" s="6" t="inlineStr">
        <is>
          <t>Yes</t>
        </is>
      </c>
      <c r="C18" s="7" t="n"/>
      <c r="D18" s="7" t="n"/>
      <c r="E18" s="7" t="n"/>
      <c r="F18" s="7" t="n"/>
      <c r="G18" s="7" t="n"/>
    </row>
    <row r="19"/>
    <row r="20">
      <c r="A20" s="3" t="inlineStr">
        <is>
          <t>FLORY PARAMETERS (INTERPRETATION)</t>
        </is>
      </c>
      <c r="B20" s="4" t="n"/>
      <c r="C20" s="4" t="n"/>
      <c r="D20" s="4" t="n"/>
      <c r="E20" s="4" t="n"/>
      <c r="F20" s="4" t="n"/>
      <c r="G20" s="4" t="n"/>
    </row>
    <row r="21">
      <c r="A21" s="9" t="inlineStr">
        <is>
          <t>Polymer</t>
        </is>
      </c>
      <c r="B21" s="9" t="inlineStr">
        <is>
          <t>Solvent</t>
        </is>
      </c>
      <c r="C21" s="9" t="inlineStr">
        <is>
          <t>c_value (log Constant)</t>
        </is>
      </c>
      <c r="D21" s="9" t="inlineStr">
        <is>
          <t>v_value (Scaling Exponent)</t>
        </is>
      </c>
      <c r="E21" s="10" t="inlineStr">
        <is>
          <t>Series</t>
        </is>
      </c>
      <c r="F21" s="11" t="n">
        <v>3</v>
      </c>
      <c r="G21" s="11" t="n">
        <v>6</v>
      </c>
    </row>
    <row r="22">
      <c r="A22" s="12" t="inlineStr">
        <is>
          <t>poly(ethylene glycol)</t>
        </is>
      </c>
      <c r="B22" s="12" t="inlineStr">
        <is>
          <t>D2O</t>
        </is>
      </c>
      <c r="C22" s="13" t="n">
        <v>-8.23</v>
      </c>
      <c r="D22" s="13" t="n">
        <v>0.49</v>
      </c>
      <c r="E22" s="14" t="inlineStr">
        <is>
          <t>poly(ethylene glycol) in D2O</t>
        </is>
      </c>
      <c r="F22" s="15">
        <f>C22-D22*3</f>
        <v/>
      </c>
      <c r="G22" s="15">
        <f>C22-D22*6</f>
        <v/>
      </c>
    </row>
    <row r="23">
      <c r="A23" s="12" t="inlineStr">
        <is>
          <t>poly(ethylene glycol)</t>
        </is>
      </c>
      <c r="B23" s="12" t="inlineStr">
        <is>
          <t>methanol-d4</t>
        </is>
      </c>
      <c r="C23" s="13" t="n">
        <v>-8.06</v>
      </c>
      <c r="D23" s="13" t="n">
        <v>0.45</v>
      </c>
      <c r="E23" s="14" t="inlineStr">
        <is>
          <t>poly(ethylene glycol) in methanol-d4</t>
        </is>
      </c>
      <c r="F23" s="15">
        <f>C23-D23*3</f>
        <v/>
      </c>
      <c r="G23" s="15">
        <f>C23-D23*6</f>
        <v/>
      </c>
    </row>
    <row r="24">
      <c r="A24" s="12" t="inlineStr">
        <is>
          <t>poly(ethylene glycol)</t>
        </is>
      </c>
      <c r="B24" s="12" t="inlineStr">
        <is>
          <t>acetone-d6</t>
        </is>
      </c>
      <c r="C24" s="13" t="n">
        <v>-7.94</v>
      </c>
      <c r="D24" s="13" t="n">
        <v>0.41</v>
      </c>
      <c r="E24" s="14" t="inlineStr">
        <is>
          <t>poly(ethylene glycol) in acetone-d6</t>
        </is>
      </c>
      <c r="F24" s="15">
        <f>C24-D24*3</f>
        <v/>
      </c>
      <c r="G24" s="15">
        <f>C24-D24*6</f>
        <v/>
      </c>
    </row>
    <row r="25">
      <c r="A25" s="12" t="inlineStr">
        <is>
          <t>poly(ethylene glycol)</t>
        </is>
      </c>
      <c r="B25" s="12" t="inlineStr">
        <is>
          <t>THF-d8</t>
        </is>
      </c>
      <c r="C25" s="13" t="n">
        <v>-7.94</v>
      </c>
      <c r="D25" s="13" t="n">
        <v>0.46</v>
      </c>
      <c r="E25" s="14" t="inlineStr">
        <is>
          <t>poly(ethylene glycol) in THF-d8</t>
        </is>
      </c>
      <c r="F25" s="15">
        <f>C25-D25*3</f>
        <v/>
      </c>
      <c r="G25" s="15">
        <f>C25-D25*6</f>
        <v/>
      </c>
    </row>
    <row r="26">
      <c r="A26" s="12" t="inlineStr">
        <is>
          <t>poly(ethylene glycol)</t>
        </is>
      </c>
      <c r="B26" s="12" t="inlineStr">
        <is>
          <t>THF-d8</t>
        </is>
      </c>
      <c r="C26" s="13" t="n">
        <v>-8.039999999999999</v>
      </c>
      <c r="D26" s="13" t="n">
        <v>0.45</v>
      </c>
      <c r="E26" s="14" t="inlineStr">
        <is>
          <t>poly(ethylene glycol) in THF-d8</t>
        </is>
      </c>
      <c r="F26" s="15">
        <f>C26-D26*3</f>
        <v/>
      </c>
      <c r="G26" s="15">
        <f>C26-D26*6</f>
        <v/>
      </c>
    </row>
    <row r="27">
      <c r="A27" s="12" t="inlineStr">
        <is>
          <t>poly(ethylene glycol)</t>
        </is>
      </c>
      <c r="B27" s="12" t="inlineStr">
        <is>
          <t>CDCl3</t>
        </is>
      </c>
      <c r="C27" s="13" t="n">
        <v>-8.039999999999999</v>
      </c>
      <c r="D27" s="13" t="n">
        <v>0.45</v>
      </c>
      <c r="E27" s="14" t="inlineStr">
        <is>
          <t>poly(ethylene glycol) in CDCl3</t>
        </is>
      </c>
      <c r="F27" s="15">
        <f>C27-D27*3</f>
        <v/>
      </c>
      <c r="G27" s="15">
        <f>C27-D27*6</f>
        <v/>
      </c>
    </row>
    <row r="28">
      <c r="A28" s="12" t="inlineStr">
        <is>
          <t>poly(ethylene glycol)</t>
        </is>
      </c>
      <c r="B28" s="12" t="inlineStr">
        <is>
          <t>ACN-d3</t>
        </is>
      </c>
      <c r="C28" s="13" t="n">
        <v>-7.88</v>
      </c>
      <c r="D28" s="13" t="n">
        <v>0.44</v>
      </c>
      <c r="E28" s="14" t="inlineStr">
        <is>
          <t>poly(ethylene glycol) in ACN-d3</t>
        </is>
      </c>
      <c r="F28" s="15">
        <f>C28-D28*3</f>
        <v/>
      </c>
      <c r="G28" s="15">
        <f>C28-D28*6</f>
        <v/>
      </c>
    </row>
    <row r="29"/>
    <row r="30"/>
    <row r="31">
      <c r="A31" s="3" t="inlineStr">
        <is>
          <t>EXTRACTED RAW TABLE DATA</t>
        </is>
      </c>
      <c r="B31" s="4" t="n"/>
      <c r="C31" s="4" t="n"/>
      <c r="D31" s="4" t="n"/>
      <c r="E31" s="4" t="n"/>
      <c r="F31" s="4" t="n"/>
      <c r="G31" s="4" t="n"/>
    </row>
    <row r="32">
      <c r="A32" s="9" t="inlineStr"/>
      <c r="B32" s="9" t="inlineStr">
        <is>
          <t>Solvent</t>
        </is>
      </c>
      <c r="C32" s="9" t="inlineStr">
        <is>
          <t>lg(b ' /m 2 s 1 )</t>
        </is>
      </c>
      <c r="D32" s="9" t="inlineStr">
        <is>
          <t>lg(c/m 2 s 1 )</t>
        </is>
      </c>
      <c r="E32" s="9" t="inlineStr">
        <is>
          <t>v</t>
        </is>
      </c>
    </row>
    <row r="33">
      <c r="A33" s="13" t="n">
        <v>0</v>
      </c>
      <c r="B33" s="12" t="inlineStr">
        <is>
          <t>D 2 O methanol-d4 acetone-d6</t>
        </is>
      </c>
      <c r="C33" s="12" t="inlineStr">
        <is>
          <t>8.23 � 0.01</t>
        </is>
      </c>
      <c r="D33" s="12" t="inlineStr">
        <is>
          <t>8.14 � 0.01</t>
        </is>
      </c>
      <c r="E33" s="12" t="inlineStr">
        <is>
          <t>0.49 � 0.01</t>
        </is>
      </c>
    </row>
    <row r="34">
      <c r="A34" s="13" t="n">
        <v>1</v>
      </c>
      <c r="B34" s="12" t="inlineStr"/>
      <c r="C34" s="12" t="inlineStr">
        <is>
          <t>8.06 � 0.01</t>
        </is>
      </c>
      <c r="D34" s="12" t="inlineStr">
        <is>
          <t>8.32 � 0.01</t>
        </is>
      </c>
      <c r="E34" s="12" t="inlineStr">
        <is>
          <t>0.45 � 0.01</t>
        </is>
      </c>
    </row>
    <row r="35">
      <c r="A35" s="13" t="n">
        <v>2</v>
      </c>
      <c r="B35" s="12" t="inlineStr"/>
      <c r="C35" s="12" t="inlineStr">
        <is>
          <t>7.94 � 0.01</t>
        </is>
      </c>
      <c r="D35" s="12" t="inlineStr">
        <is>
          <t>8.46 � 0.02</t>
        </is>
      </c>
      <c r="E35" s="12" t="inlineStr">
        <is>
          <t>0.41 � 0.01</t>
        </is>
      </c>
    </row>
    <row r="36">
      <c r="A36" s="13" t="n">
        <v>3</v>
      </c>
      <c r="B36" s="12" t="inlineStr">
        <is>
          <t>THF-d8</t>
        </is>
      </c>
      <c r="C36" s="12" t="inlineStr">
        <is>
          <t>7.94 � 0.01</t>
        </is>
      </c>
      <c r="D36" s="12" t="inlineStr">
        <is>
          <t>8.26 � 0.02</t>
        </is>
      </c>
      <c r="E36" s="12" t="inlineStr">
        <is>
          <t>0.46 � 0.01</t>
        </is>
      </c>
    </row>
    <row r="37">
      <c r="A37" s="13" t="n">
        <v>4</v>
      </c>
      <c r="B37" s="12" t="inlineStr">
        <is>
          <t>CDCl 3</t>
        </is>
      </c>
      <c r="C37" s="12" t="inlineStr">
        <is>
          <t>8.04 � 0.01</t>
        </is>
      </c>
      <c r="D37" s="12" t="inlineStr">
        <is>
          <t>8.08 � 0.02</t>
        </is>
      </c>
      <c r="E37" s="12" t="inlineStr">
        <is>
          <t>0.45 � 0.01</t>
        </is>
      </c>
    </row>
    <row r="38">
      <c r="A38" s="13" t="n">
        <v>5</v>
      </c>
      <c r="B38" s="12" t="inlineStr">
        <is>
          <t>ACN-d3</t>
        </is>
      </c>
      <c r="C38" s="12" t="inlineStr">
        <is>
          <t>7.88 � 0.01</t>
        </is>
      </c>
      <c r="D38" s="12" t="inlineStr">
        <is>
          <t>8.34 � 0.03</t>
        </is>
      </c>
      <c r="E38" s="12" t="inlineStr">
        <is>
          <t>0.44 � 0.01</t>
        </is>
      </c>
    </row>
  </sheetData>
  <mergeCells count="17">
    <mergeCell ref="A13:G13"/>
    <mergeCell ref="B16:G16"/>
    <mergeCell ref="B10:G10"/>
    <mergeCell ref="A1:G2"/>
    <mergeCell ref="B5:G5"/>
    <mergeCell ref="B14:G14"/>
    <mergeCell ref="A31:G31"/>
    <mergeCell ref="B17:G17"/>
    <mergeCell ref="B9:G9"/>
    <mergeCell ref="A4:G4"/>
    <mergeCell ref="B8:G8"/>
    <mergeCell ref="A20:G20"/>
    <mergeCell ref="B18:G18"/>
    <mergeCell ref="B15:G15"/>
    <mergeCell ref="B7:G7"/>
    <mergeCell ref="B11:G11"/>
    <mergeCell ref="B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2026-07-13T15:26:16Z</dcterms:created>
  <dcterms:modified xmlns:dcterms="http://purl.org/dc/terms/" xmlns:xsi="http://www.w3.org/2001/XMLSchema-instance" xsi:type="dcterms:W3CDTF">2026-07-13T15:26:16Z</dcterms:modified>
</cp:coreProperties>
</file>