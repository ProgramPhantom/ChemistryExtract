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1" sheetId="1" state="visible" r:id="rId1"/>
    <sheet xmlns:r="http://schemas.openxmlformats.org/officeDocument/2006/relationships" name="Table 2" sheetId="2" state="visible" r:id="rId2"/>
    <sheet xmlns:r="http://schemas.openxmlformats.org/officeDocument/2006/relationships" name="Table 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1F497D"/>
      <sz val="11"/>
    </font>
    <font>
      <name val="Segoe UI"/>
      <b val="1"/>
      <color rgb="00333333"/>
      <sz val="10"/>
    </font>
    <font>
      <name val="Segoe UI"/>
      <color rgb="00000000"/>
      <sz val="10"/>
    </font>
    <font>
      <name val="Segoe UI"/>
      <i val="1"/>
      <color rgb="00333333"/>
      <sz val="10"/>
    </font>
    <font>
      <name val="Segoe UI"/>
      <b val="1"/>
      <color rgb="00FFFFFF"/>
      <sz val="10"/>
    </font>
    <font>
      <name val="Segoe UI"/>
      <b val="1"/>
      <color rgb="007F7F7F"/>
      <sz val="9"/>
    </font>
    <font>
      <name val="Segoe UI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8CCE4"/>
        <bgColor rgb="00B8CCE4"/>
      </patternFill>
    </fill>
    <fill>
      <patternFill patternType="solid">
        <fgColor rgb="00366092"/>
        <bgColor rgb="00366092"/>
      </patternFill>
    </fill>
  </fills>
  <borders count="4">
    <border>
      <left/>
      <right/>
      <top/>
      <bottom/>
      <diagonal/>
    </border>
    <border>
      <bottom style="medium">
        <color rgb="001F497D"/>
      </bottom>
    </border>
    <border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1'!E21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1'!$F$21:$I$21</f>
            </numRef>
          </val>
        </ser>
        <ser>
          <idx val="1"/>
          <order val="1"/>
          <tx>
            <strRef>
              <f>'Table 1'!E22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1'!$F$22:$I$22</f>
            </numRef>
          </val>
        </ser>
        <ser>
          <idx val="2"/>
          <order val="2"/>
          <tx>
            <strRef>
              <f>'Table 1'!E23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1'!$F$23:$I$23</f>
            </numRef>
          </val>
        </ser>
        <ser>
          <idx val="3"/>
          <order val="3"/>
          <tx>
            <strRef>
              <f>'Table 1'!E24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1'!$F$24:$I$24</f>
            </numRef>
          </val>
        </ser>
        <ser>
          <idx val="4"/>
          <order val="4"/>
          <tx>
            <strRef>
              <f>'Table 1'!E25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1'!$F$25:$I$25</f>
            </numRef>
          </val>
        </ser>
        <ser>
          <idx val="5"/>
          <order val="5"/>
          <tx>
            <strRef>
              <f>'Table 1'!E26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1'!$F$26:$I$26</f>
            </numRef>
          </val>
        </ser>
        <ser>
          <idx val="6"/>
          <order val="6"/>
          <tx>
            <strRef>
              <f>'Table 1'!E27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1'!$F$27:$I$27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2'!E21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2'!$F$21:$I$21</f>
            </numRef>
          </cat>
          <val>
            <numRef>
              <f>'Table 2'!$F$21:$I$21</f>
            </numRef>
          </val>
        </ser>
        <ser>
          <idx val="1"/>
          <order val="1"/>
          <tx>
            <strRef>
              <f>'Table 2'!E22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2'!$F$21:$I$21</f>
            </numRef>
          </cat>
          <val>
            <numRef>
              <f>'Table 2'!$F$22:$I$22</f>
            </numRef>
          </val>
        </ser>
        <ser>
          <idx val="2"/>
          <order val="2"/>
          <tx>
            <strRef>
              <f>'Table 2'!E23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2'!$F$21:$I$21</f>
            </numRef>
          </cat>
          <val>
            <numRef>
              <f>'Table 2'!$F$23:$I$23</f>
            </numRef>
          </val>
        </ser>
        <ser>
          <idx val="3"/>
          <order val="3"/>
          <tx>
            <strRef>
              <f>'Table 2'!E24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2'!$F$21:$I$21</f>
            </numRef>
          </cat>
          <val>
            <numRef>
              <f>'Table 2'!$F$24:$I$24</f>
            </numRef>
          </val>
        </ser>
        <ser>
          <idx val="4"/>
          <order val="4"/>
          <tx>
            <strRef>
              <f>'Table 2'!E25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2'!$F$21:$I$21</f>
            </numRef>
          </cat>
          <val>
            <numRef>
              <f>'Table 2'!$F$25:$I$25</f>
            </numRef>
          </val>
        </ser>
        <ser>
          <idx val="5"/>
          <order val="5"/>
          <tx>
            <strRef>
              <f>'Table 2'!E26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2'!$F$21:$I$21</f>
            </numRef>
          </cat>
          <val>
            <numRef>
              <f>'Table 2'!$F$26:$I$26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3'!E21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3'!$F$21:$I$21</f>
            </numRef>
          </val>
        </ser>
        <ser>
          <idx val="1"/>
          <order val="1"/>
          <tx>
            <strRef>
              <f>'Table 3'!E22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3'!$F$22:$I$22</f>
            </numRef>
          </val>
        </ser>
        <ser>
          <idx val="2"/>
          <order val="2"/>
          <tx>
            <strRef>
              <f>'Table 3'!E23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3'!$F$23:$I$23</f>
            </numRef>
          </val>
        </ser>
        <ser>
          <idx val="3"/>
          <order val="3"/>
          <tx>
            <strRef>
              <f>'Table 3'!E24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3'!$F$24:$I$24</f>
            </numRef>
          </val>
        </ser>
        <ser>
          <idx val="4"/>
          <order val="4"/>
          <tx>
            <strRef>
              <f>'Table 3'!E25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3'!$F$25:$I$25</f>
            </numRef>
          </val>
        </ser>
        <ser>
          <idx val="5"/>
          <order val="5"/>
          <tx>
            <strRef>
              <f>'Table 3'!E26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3'!$F$26:$I$26</f>
            </numRef>
          </val>
        </ser>
        <ser>
          <idx val="6"/>
          <order val="6"/>
          <tx>
            <strRef>
              <f>'Table 3'!E27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3'!$F$27:$I$27</f>
            </numRef>
          </val>
        </ser>
        <ser>
          <idx val="7"/>
          <order val="7"/>
          <tx>
            <strRef>
              <f>'Table 3'!E28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3'!$F$21:$I$21</f>
            </numRef>
          </cat>
          <val>
            <numRef>
              <f>'Table 3'!$F$28:$I$28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test5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PS, pMA, pMMA, dextrane, pullane, PEG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Literature data on DOSY molecular weight calibrations for various polymers in different solvents.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lg(b'/m^2 s^-1): 7.70, 7.72, 7.53, 8.14, 8.2, 8.39, v: 0.54, 0.50, 0.56, 0.47, 0.49, 0.47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4</v>
      </c>
      <c r="H21" s="11" t="n">
        <v>5</v>
      </c>
      <c r="I21" s="11" t="n">
        <v>6</v>
      </c>
    </row>
    <row r="22">
      <c r="A22" s="12" t="inlineStr">
        <is>
          <t>PS</t>
        </is>
      </c>
      <c r="B22" s="12" t="inlineStr">
        <is>
          <t>benzene</t>
        </is>
      </c>
      <c r="C22" s="13" t="n">
        <v>-7.7</v>
      </c>
      <c r="D22" s="13" t="n">
        <v>0.54</v>
      </c>
      <c r="E22" s="14" t="inlineStr">
        <is>
          <t>PS in benzene</t>
        </is>
      </c>
      <c r="F22" s="15">
        <f>C22-D22*3</f>
        <v/>
      </c>
      <c r="G22" s="15">
        <f>C22-D22*4</f>
        <v/>
      </c>
      <c r="H22" s="15">
        <f>C22-D22*5</f>
        <v/>
      </c>
      <c r="I22" s="15">
        <f>C22-D22*6</f>
        <v/>
      </c>
    </row>
    <row r="23">
      <c r="A23" s="12" t="inlineStr">
        <is>
          <t>pMA</t>
        </is>
      </c>
      <c r="B23" s="12" t="inlineStr">
        <is>
          <t>toluene</t>
        </is>
      </c>
      <c r="C23" s="13" t="n">
        <v>-7.72</v>
      </c>
      <c r="D23" s="13" t="n">
        <v>0.5</v>
      </c>
      <c r="E23" s="14" t="inlineStr">
        <is>
          <t>pMA in toluene</t>
        </is>
      </c>
      <c r="F23" s="15">
        <f>C23-D23*3</f>
        <v/>
      </c>
      <c r="G23" s="15">
        <f>C23-D23*4</f>
        <v/>
      </c>
      <c r="H23" s="15">
        <f>C23-D23*5</f>
        <v/>
      </c>
      <c r="I23" s="15">
        <f>C23-D23*6</f>
        <v/>
      </c>
    </row>
    <row r="24">
      <c r="A24" s="12" t="inlineStr">
        <is>
          <t xml:space="preserve"> uma own's </t>
        </is>
      </c>
      <c r="B24" s="12" t="inlineStr">
        <is>
          <t>CDCl3</t>
        </is>
      </c>
      <c r="C24" s="13" t="n">
        <v>-7.53</v>
      </c>
      <c r="D24" s="13" t="n">
        <v>0.5600000000000001</v>
      </c>
      <c r="E24" s="14" t="inlineStr">
        <is>
          <t xml:space="preserve"> uma own's  in CDCl3</t>
        </is>
      </c>
      <c r="F24" s="15">
        <f>C24-D24*3</f>
        <v/>
      </c>
      <c r="G24" s="15">
        <f>C24-D24*4</f>
        <v/>
      </c>
      <c r="H24" s="15">
        <f>C24-D24*5</f>
        <v/>
      </c>
      <c r="I24" s="15">
        <f>C24-D24*6</f>
        <v/>
      </c>
    </row>
    <row r="25">
      <c r="A25" s="12" t="inlineStr">
        <is>
          <t>dextrane</t>
        </is>
      </c>
      <c r="B25" s="12" t="inlineStr">
        <is>
          <t>D2O</t>
        </is>
      </c>
      <c r="C25" s="13" t="n">
        <v>-8.140000000000001</v>
      </c>
      <c r="D25" s="13" t="n">
        <v>0.47</v>
      </c>
      <c r="E25" s="14" t="inlineStr">
        <is>
          <t>dextrane in D2O</t>
        </is>
      </c>
      <c r="F25" s="15">
        <f>C25-D25*3</f>
        <v/>
      </c>
      <c r="G25" s="15">
        <f>C25-D25*4</f>
        <v/>
      </c>
      <c r="H25" s="15">
        <f>C25-D25*5</f>
        <v/>
      </c>
      <c r="I25" s="15">
        <f>C25-D25*6</f>
        <v/>
      </c>
    </row>
    <row r="26">
      <c r="A26" s="12" t="inlineStr">
        <is>
          <t>pullane</t>
        </is>
      </c>
      <c r="B26" s="12" t="inlineStr">
        <is>
          <t>D2O</t>
        </is>
      </c>
      <c r="C26" s="13" t="n">
        <v>-8.199999999999999</v>
      </c>
      <c r="D26" s="13" t="n">
        <v>0.49</v>
      </c>
      <c r="E26" s="14" t="inlineStr">
        <is>
          <t>pullane in D2O</t>
        </is>
      </c>
      <c r="F26" s="15">
        <f>C26-D26*3</f>
        <v/>
      </c>
      <c r="G26" s="15">
        <f>C26-D26*4</f>
        <v/>
      </c>
      <c r="H26" s="15">
        <f>C26-D26*5</f>
        <v/>
      </c>
      <c r="I26" s="15">
        <f>C26-D26*6</f>
        <v/>
      </c>
    </row>
    <row r="27">
      <c r="A27" s="12" t="inlineStr">
        <is>
          <t>PEG [a]</t>
        </is>
      </c>
      <c r="B27" s="12" t="inlineStr">
        <is>
          <t>D2O</t>
        </is>
      </c>
      <c r="C27" s="13" t="n">
        <v>-8.390000000000001</v>
      </c>
      <c r="D27" s="13" t="n">
        <v>0.47</v>
      </c>
      <c r="E27" s="14" t="inlineStr">
        <is>
          <t>PEG [a] in D2O</t>
        </is>
      </c>
      <c r="F27" s="15">
        <f>C27-D27*3</f>
        <v/>
      </c>
      <c r="G27" s="15">
        <f>C27-D27*4</f>
        <v/>
      </c>
      <c r="H27" s="15">
        <f>C27-D27*5</f>
        <v/>
      </c>
      <c r="I27" s="15">
        <f>C27-D27*6</f>
        <v/>
      </c>
    </row>
    <row r="28"/>
    <row r="29"/>
    <row r="30">
      <c r="A30" s="3" t="inlineStr">
        <is>
          <t>EXTRACTED TABLE DATA</t>
        </is>
      </c>
      <c r="B30" s="4" t="n"/>
      <c r="C30" s="4" t="n"/>
      <c r="D30" s="4" t="n"/>
      <c r="E30" s="4" t="n"/>
      <c r="F30" s="4" t="n"/>
      <c r="G30" s="4" t="n"/>
    </row>
    <row r="31">
      <c r="A31" s="9" t="inlineStr"/>
      <c r="B31" s="9" t="inlineStr">
        <is>
          <t>Polymer</t>
        </is>
      </c>
      <c r="C31" s="9" t="inlineStr">
        <is>
          <t>lg(b ' /m 2 s 1 )</t>
        </is>
      </c>
      <c r="D31" s="9" t="inlineStr">
        <is>
          <t>v</t>
        </is>
      </c>
      <c r="E31" s="9" t="inlineStr">
        <is>
          <t>Solvent, ref</t>
        </is>
      </c>
    </row>
    <row r="32"/>
    <row r="33"/>
    <row r="34"/>
    <row r="35"/>
    <row r="36">
      <c r="A36" s="13" t="n">
        <v>0</v>
      </c>
      <c r="B36" s="12" t="inlineStr">
        <is>
          <t>PS</t>
        </is>
      </c>
      <c r="C36" s="13" t="n">
        <v>7.7</v>
      </c>
      <c r="D36" s="13" t="n">
        <v>0.54</v>
      </c>
      <c r="E36" s="12" t="inlineStr">
        <is>
          <t>benzene, [11]</t>
        </is>
      </c>
    </row>
    <row r="37"/>
    <row r="38"/>
    <row r="39"/>
    <row r="40"/>
    <row r="41">
      <c r="A41" s="13" t="n">
        <v>1</v>
      </c>
      <c r="B41" s="12" t="inlineStr">
        <is>
          <t>pMA</t>
        </is>
      </c>
      <c r="C41" s="13" t="n">
        <v>7.72</v>
      </c>
      <c r="D41" s="13" t="n">
        <v>0.5</v>
      </c>
      <c r="E41" s="12" t="inlineStr">
        <is>
          <t>toluene, [13]</t>
        </is>
      </c>
    </row>
    <row r="42"/>
    <row r="43"/>
    <row r="44"/>
    <row r="45"/>
    <row r="46">
      <c r="A46" s="13" t="n">
        <v>2</v>
      </c>
      <c r="B46" s="12" t="inlineStr">
        <is>
          <t>pMMA</t>
        </is>
      </c>
      <c r="C46" s="13" t="n">
        <v>7.53</v>
      </c>
      <c r="D46" s="13" t="n">
        <v>0.5600000000000001</v>
      </c>
      <c r="E46" s="12" t="inlineStr">
        <is>
          <t>CDCl 3 , [11]</t>
        </is>
      </c>
    </row>
    <row r="47"/>
    <row r="48"/>
    <row r="49"/>
    <row r="50"/>
    <row r="51">
      <c r="A51" s="13" t="n">
        <v>3</v>
      </c>
      <c r="B51" s="12" t="inlineStr">
        <is>
          <t>dextrane</t>
        </is>
      </c>
      <c r="C51" s="13" t="n">
        <v>8.140000000000001</v>
      </c>
      <c r="D51" s="13" t="n">
        <v>0.47</v>
      </c>
      <c r="E51" s="12" t="inlineStr">
        <is>
          <t>D 2 O, [11]</t>
        </is>
      </c>
    </row>
    <row r="52"/>
    <row r="53"/>
    <row r="54"/>
    <row r="55"/>
    <row r="56">
      <c r="A56" s="13" t="n">
        <v>4</v>
      </c>
      <c r="B56" s="12" t="inlineStr">
        <is>
          <t>pullane</t>
        </is>
      </c>
      <c r="C56" s="13" t="n">
        <v>8.199999999999999</v>
      </c>
      <c r="D56" s="13" t="n">
        <v>0.49</v>
      </c>
      <c r="E56" s="12" t="inlineStr">
        <is>
          <t>D 2 O, [15]</t>
        </is>
      </c>
    </row>
    <row r="57"/>
    <row r="58"/>
    <row r="59"/>
    <row r="60"/>
    <row r="61">
      <c r="A61" s="13" t="n">
        <v>5</v>
      </c>
      <c r="B61" s="12" t="inlineStr">
        <is>
          <t>PEG [a]</t>
        </is>
      </c>
      <c r="C61" s="13" t="n">
        <v>8.390000000000001</v>
      </c>
      <c r="D61" s="13" t="n">
        <v>0.47</v>
      </c>
      <c r="E61" s="12" t="inlineStr">
        <is>
          <t>D 2 O, [14]</t>
        </is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A30:G3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test5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polystyrene, benzene-d6, CDCl3, acetone-d6, toluene-d8, THF-d8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Calibration coefficients obtained for polystyrene in various deuterated solvents using DOSY NMR.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4</v>
      </c>
      <c r="H21" s="11" t="n">
        <v>5</v>
      </c>
      <c r="I21" s="11" t="n">
        <v>6</v>
      </c>
    </row>
    <row r="22">
      <c r="A22" s="12" t="inlineStr">
        <is>
          <t>polystyrene</t>
        </is>
      </c>
      <c r="B22" s="12" t="inlineStr">
        <is>
          <t>benzene-d6</t>
        </is>
      </c>
      <c r="C22" s="13" t="n">
        <v>-7.94</v>
      </c>
      <c r="D22" s="13" t="n">
        <v>0.49</v>
      </c>
      <c r="E22" s="14" t="inlineStr">
        <is>
          <t>polystyrene in benzene-d6</t>
        </is>
      </c>
      <c r="F22" s="15">
        <f>C22-D22*3</f>
        <v/>
      </c>
      <c r="G22" s="15">
        <f>C22-D22*4</f>
        <v/>
      </c>
      <c r="H22" s="15">
        <f>C22-D22*5</f>
        <v/>
      </c>
      <c r="I22" s="15">
        <f>C22-D22*6</f>
        <v/>
      </c>
    </row>
    <row r="23">
      <c r="A23" s="12" t="inlineStr">
        <is>
          <t>polystyrene</t>
        </is>
      </c>
      <c r="B23" s="12" t="inlineStr">
        <is>
          <t>CDCl3</t>
        </is>
      </c>
      <c r="C23" s="13" t="n">
        <v>-7.97</v>
      </c>
      <c r="D23" s="13" t="n">
        <v>0.46</v>
      </c>
      <c r="E23" s="14" t="inlineStr">
        <is>
          <t>polystyrene in CDCl3</t>
        </is>
      </c>
      <c r="F23" s="15">
        <f>C23-D23*3</f>
        <v/>
      </c>
      <c r="G23" s="15">
        <f>C23-D23*4</f>
        <v/>
      </c>
      <c r="H23" s="15">
        <f>C23-D23*5</f>
        <v/>
      </c>
      <c r="I23" s="15">
        <f>C23-D23*6</f>
        <v/>
      </c>
    </row>
    <row r="24">
      <c r="A24" s="12" t="inlineStr">
        <is>
          <t>polystyrene</t>
        </is>
      </c>
      <c r="B24" s="12" t="inlineStr">
        <is>
          <t>acetone-d6</t>
        </is>
      </c>
      <c r="C24" s="13" t="n">
        <v>-7.78</v>
      </c>
      <c r="D24" s="13" t="n">
        <v>0.43</v>
      </c>
      <c r="E24" s="14" t="inlineStr">
        <is>
          <t>polystyrene in acetone-d6</t>
        </is>
      </c>
      <c r="F24" s="15">
        <f>C24-D24*3</f>
        <v/>
      </c>
      <c r="G24" s="15">
        <f>C24-D24*4</f>
        <v/>
      </c>
      <c r="H24" s="15">
        <f>C24-D24*5</f>
        <v/>
      </c>
      <c r="I24" s="15">
        <f>C24-D24*6</f>
        <v/>
      </c>
    </row>
    <row r="25">
      <c r="A25" s="12" t="inlineStr">
        <is>
          <t>polystyrene</t>
        </is>
      </c>
      <c r="B25" s="12" t="inlineStr">
        <is>
          <t>toluene-d8</t>
        </is>
      </c>
      <c r="C25" s="13" t="n">
        <v>-7.82</v>
      </c>
      <c r="D25" s="13" t="n">
        <v>0.51</v>
      </c>
      <c r="E25" s="14" t="inlineStr">
        <is>
          <t>polystyrene in toluene-d8</t>
        </is>
      </c>
      <c r="F25" s="15">
        <f>C25-D25*3</f>
        <v/>
      </c>
      <c r="G25" s="15">
        <f>C25-D25*4</f>
        <v/>
      </c>
      <c r="H25" s="15">
        <f>C25-D25*5</f>
        <v/>
      </c>
      <c r="I25" s="15">
        <f>C25-D25*6</f>
        <v/>
      </c>
    </row>
    <row r="26">
      <c r="A26" s="12" t="inlineStr">
        <is>
          <t>polystyrene</t>
        </is>
      </c>
      <c r="B26" s="12" t="inlineStr">
        <is>
          <t>THF-d8</t>
        </is>
      </c>
      <c r="C26" s="13" t="n">
        <v>-8.07</v>
      </c>
      <c r="D26" s="13" t="n">
        <v>0.42</v>
      </c>
      <c r="E26" s="14" t="inlineStr">
        <is>
          <t>polystyrene in THF-d8</t>
        </is>
      </c>
      <c r="F26" s="15">
        <f>C26-D26*3</f>
        <v/>
      </c>
      <c r="G26" s="15">
        <f>C26-D26*4</f>
        <v/>
      </c>
      <c r="H26" s="15">
        <f>C26-D26*5</f>
        <v/>
      </c>
      <c r="I26" s="15">
        <f>C26-D26*6</f>
        <v/>
      </c>
    </row>
    <row r="27"/>
    <row r="28"/>
    <row r="29">
      <c r="A29" s="3" t="inlineStr">
        <is>
          <t>EXTRACTED TABLE DATA</t>
        </is>
      </c>
      <c r="B29" s="4" t="n"/>
      <c r="C29" s="4" t="n"/>
      <c r="D29" s="4" t="n"/>
      <c r="E29" s="4" t="n"/>
      <c r="F29" s="4" t="n"/>
      <c r="G29" s="4" t="n"/>
    </row>
    <row r="30">
      <c r="A30" s="9" t="inlineStr"/>
      <c r="B30" s="9" t="inlineStr">
        <is>
          <t>Solvent</t>
        </is>
      </c>
      <c r="C30" s="9" t="inlineStr">
        <is>
          <t>lg(b ' /m 2 s 1 )</t>
        </is>
      </c>
      <c r="D30" s="9" t="inlineStr">
        <is>
          <t>lg(c/m 2 s 1 )</t>
        </is>
      </c>
      <c r="E30" s="9" t="inlineStr">
        <is>
          <t>V</t>
        </is>
      </c>
    </row>
    <row r="31"/>
    <row r="32"/>
    <row r="33"/>
    <row r="34"/>
    <row r="35">
      <c r="A35" s="13" t="n">
        <v>0</v>
      </c>
      <c r="B35" s="12" t="inlineStr">
        <is>
          <t>benzene-d6</t>
        </is>
      </c>
      <c r="C35" s="12" t="inlineStr">
        <is>
          <t>7.94 � 0.02</t>
        </is>
      </c>
      <c r="D35" s="12" t="inlineStr">
        <is>
          <t>8.15 � 0.02</t>
        </is>
      </c>
      <c r="E35" s="12" t="inlineStr">
        <is>
          <t>0.49 � 0.02</t>
        </is>
      </c>
    </row>
    <row r="36"/>
    <row r="37"/>
    <row r="38"/>
    <row r="39"/>
    <row r="40">
      <c r="A40" s="13" t="n">
        <v>1</v>
      </c>
      <c r="B40" s="12" t="inlineStr">
        <is>
          <t>CDCl 3</t>
        </is>
      </c>
      <c r="C40" s="12" t="inlineStr">
        <is>
          <t>7.97 � 0.01</t>
        </is>
      </c>
      <c r="D40" s="12" t="inlineStr">
        <is>
          <t>8.22 � 0.01</t>
        </is>
      </c>
      <c r="E40" s="12" t="inlineStr">
        <is>
          <t>0.46 � 0.01</t>
        </is>
      </c>
    </row>
    <row r="41"/>
    <row r="42"/>
    <row r="43"/>
    <row r="44"/>
    <row r="45">
      <c r="A45" s="13" t="n">
        <v>2</v>
      </c>
      <c r="B45" s="12" t="inlineStr">
        <is>
          <t>acetone-d6</t>
        </is>
      </c>
      <c r="C45" s="12" t="inlineStr">
        <is>
          <t>7.78 � 0.02</t>
        </is>
      </c>
      <c r="D45" s="12" t="inlineStr">
        <is>
          <t>8.31 � 0.02</t>
        </is>
      </c>
      <c r="E45" s="12" t="inlineStr">
        <is>
          <t>0.43 � 0.02</t>
        </is>
      </c>
    </row>
    <row r="46"/>
    <row r="47"/>
    <row r="48"/>
    <row r="49"/>
    <row r="50">
      <c r="A50" s="13" t="n">
        <v>3</v>
      </c>
      <c r="B50" s="12" t="inlineStr">
        <is>
          <t>toluene-d8</t>
        </is>
      </c>
      <c r="C50" s="12" t="inlineStr">
        <is>
          <t>7.82 � 0.01</t>
        </is>
      </c>
      <c r="D50" s="12" t="inlineStr">
        <is>
          <t>8.07 � 0.01</t>
        </is>
      </c>
      <c r="E50" s="12" t="inlineStr">
        <is>
          <t>0.51 � 0.01</t>
        </is>
      </c>
    </row>
    <row r="51"/>
    <row r="52"/>
    <row r="53"/>
    <row r="54"/>
    <row r="55">
      <c r="A55" s="13" t="n">
        <v>4</v>
      </c>
      <c r="B55" s="12" t="inlineStr">
        <is>
          <t>THF-d8</t>
        </is>
      </c>
      <c r="C55" s="12" t="inlineStr">
        <is>
          <t>8.07 � 0.01</t>
        </is>
      </c>
      <c r="D55" s="12" t="inlineStr">
        <is>
          <t>8.40 � 0.01</t>
        </is>
      </c>
      <c r="E55" s="12" t="inlineStr">
        <is>
          <t>0.42 � 0.02</t>
        </is>
      </c>
    </row>
  </sheetData>
  <mergeCells count="17">
    <mergeCell ref="A13:G13"/>
    <mergeCell ref="B16:G16"/>
    <mergeCell ref="B10:G1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A29:G29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39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test5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Not applicable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poly(ethylene glycol), D2O, methanol-d4, acetone-d6, THF-d8, CDCl3, ACN-d3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Calibration coefficients obtained for poly(ethylene glycol) for a variety of deuterated solvents using DOSY.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/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No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4</v>
      </c>
      <c r="H21" s="11" t="n">
        <v>5</v>
      </c>
      <c r="I21" s="11" t="n">
        <v>6</v>
      </c>
    </row>
    <row r="22">
      <c r="A22" s="12" t="inlineStr">
        <is>
          <t>poly(ethylene glycol)</t>
        </is>
      </c>
      <c r="B22" s="12" t="inlineStr">
        <is>
          <t>D2O</t>
        </is>
      </c>
      <c r="C22" s="13" t="n">
        <v>-8.23</v>
      </c>
      <c r="D22" s="13" t="n">
        <v>0.49</v>
      </c>
      <c r="E22" s="14" t="inlineStr">
        <is>
          <t>poly(ethylene glycol) in D2O</t>
        </is>
      </c>
      <c r="F22" s="15">
        <f>C22-D22*3</f>
        <v/>
      </c>
      <c r="G22" s="15">
        <f>C22-D22*4</f>
        <v/>
      </c>
      <c r="H22" s="15">
        <f>C22-D22*5</f>
        <v/>
      </c>
      <c r="I22" s="15">
        <f>C22-D22*6</f>
        <v/>
      </c>
    </row>
    <row r="23">
      <c r="A23" s="12" t="inlineStr">
        <is>
          <t>poly(ethylene glycol)</t>
        </is>
      </c>
      <c r="B23" s="12" t="inlineStr">
        <is>
          <t>methanol-d4</t>
        </is>
      </c>
      <c r="C23" s="13" t="n">
        <v>-8.06</v>
      </c>
      <c r="D23" s="13" t="n">
        <v>0.45</v>
      </c>
      <c r="E23" s="14" t="inlineStr">
        <is>
          <t>poly(ethylene glycol) in methanol-d4</t>
        </is>
      </c>
      <c r="F23" s="15">
        <f>C23-D23*3</f>
        <v/>
      </c>
      <c r="G23" s="15">
        <f>C23-D23*4</f>
        <v/>
      </c>
      <c r="H23" s="15">
        <f>C23-D23*5</f>
        <v/>
      </c>
      <c r="I23" s="15">
        <f>C23-D23*6</f>
        <v/>
      </c>
    </row>
    <row r="24">
      <c r="A24" s="12" t="inlineStr">
        <is>
          <t>poly(ethylene glycol)</t>
        </is>
      </c>
      <c r="B24" s="12" t="inlineStr">
        <is>
          <t>acetone-d6</t>
        </is>
      </c>
      <c r="C24" s="13" t="n">
        <v>-7.94</v>
      </c>
      <c r="D24" s="13" t="n">
        <v>0.41</v>
      </c>
      <c r="E24" s="14" t="inlineStr">
        <is>
          <t>poly(ethylene glycol) in acetone-d6</t>
        </is>
      </c>
      <c r="F24" s="15">
        <f>C24-D24*3</f>
        <v/>
      </c>
      <c r="G24" s="15">
        <f>C24-D24*4</f>
        <v/>
      </c>
      <c r="H24" s="15">
        <f>C24-D24*5</f>
        <v/>
      </c>
      <c r="I24" s="15">
        <f>C24-D24*6</f>
        <v/>
      </c>
    </row>
    <row r="25">
      <c r="A25" s="12" t="inlineStr">
        <is>
          <t>poly(ethylene glycol)</t>
        </is>
      </c>
      <c r="B25" s="12" t="inlineStr">
        <is>
          <t>THF-d8</t>
        </is>
      </c>
      <c r="C25" s="13" t="n">
        <v>-7.94</v>
      </c>
      <c r="D25" s="13" t="n">
        <v>0.46</v>
      </c>
      <c r="E25" s="14" t="inlineStr">
        <is>
          <t>poly(ethylene glycol) in THF-d8</t>
        </is>
      </c>
      <c r="F25" s="15">
        <f>C25-D25*3</f>
        <v/>
      </c>
      <c r="G25" s="15">
        <f>C25-D25*4</f>
        <v/>
      </c>
      <c r="H25" s="15">
        <f>C25-D25*5</f>
        <v/>
      </c>
      <c r="I25" s="15">
        <f>C25-D25*6</f>
        <v/>
      </c>
    </row>
    <row r="26">
      <c r="A26" s="12" t="inlineStr">
        <is>
          <t>poly(ethylene glycol)</t>
        </is>
      </c>
      <c r="B26" s="12" t="inlineStr">
        <is>
          <t>THF-d8</t>
        </is>
      </c>
      <c r="C26" s="13" t="n">
        <v>-8.039999999999999</v>
      </c>
      <c r="D26" s="13" t="n">
        <v>0.45</v>
      </c>
      <c r="E26" s="14" t="inlineStr">
        <is>
          <t>poly(ethylene glycol) in THF-d8</t>
        </is>
      </c>
      <c r="F26" s="15">
        <f>C26-D26*3</f>
        <v/>
      </c>
      <c r="G26" s="15">
        <f>C26-D26*4</f>
        <v/>
      </c>
      <c r="H26" s="15">
        <f>C26-D26*5</f>
        <v/>
      </c>
      <c r="I26" s="15">
        <f>C26-D26*6</f>
        <v/>
      </c>
    </row>
    <row r="27">
      <c r="A27" s="12" t="inlineStr">
        <is>
          <t>poly(ethylene glycol)</t>
        </is>
      </c>
      <c r="B27" s="12" t="inlineStr">
        <is>
          <t>CDCl3</t>
        </is>
      </c>
      <c r="C27" s="13" t="n">
        <v>-8.039999999999999</v>
      </c>
      <c r="D27" s="13" t="n">
        <v>0.45</v>
      </c>
      <c r="E27" s="14" t="inlineStr">
        <is>
          <t>poly(ethylene glycol) in CDCl3</t>
        </is>
      </c>
      <c r="F27" s="15">
        <f>C27-D27*3</f>
        <v/>
      </c>
      <c r="G27" s="15">
        <f>C27-D27*4</f>
        <v/>
      </c>
      <c r="H27" s="15">
        <f>C27-D27*5</f>
        <v/>
      </c>
      <c r="I27" s="15">
        <f>C27-D27*6</f>
        <v/>
      </c>
    </row>
    <row r="28">
      <c r="A28" s="12" t="inlineStr">
        <is>
          <t>poly(ethylene glycol)</t>
        </is>
      </c>
      <c r="B28" s="12" t="inlineStr">
        <is>
          <t>ACN-d3</t>
        </is>
      </c>
      <c r="C28" s="13" t="n">
        <v>-7.88</v>
      </c>
      <c r="D28" s="13" t="n">
        <v>0.44</v>
      </c>
      <c r="E28" s="14" t="inlineStr">
        <is>
          <t>poly(ethylene glycol) in ACN-d3</t>
        </is>
      </c>
      <c r="F28" s="15">
        <f>C28-D28*3</f>
        <v/>
      </c>
      <c r="G28" s="15">
        <f>C28-D28*4</f>
        <v/>
      </c>
      <c r="H28" s="15">
        <f>C28-D28*5</f>
        <v/>
      </c>
      <c r="I28" s="15">
        <f>C28-D28*6</f>
        <v/>
      </c>
    </row>
    <row r="29"/>
    <row r="30"/>
    <row r="31">
      <c r="A31" s="3" t="inlineStr">
        <is>
          <t>EXTRACTED TABLE DATA</t>
        </is>
      </c>
      <c r="B31" s="4" t="n"/>
      <c r="C31" s="4" t="n"/>
      <c r="D31" s="4" t="n"/>
      <c r="E31" s="4" t="n"/>
      <c r="F31" s="4" t="n"/>
      <c r="G31" s="4" t="n"/>
    </row>
    <row r="32">
      <c r="A32" s="9" t="inlineStr"/>
      <c r="B32" s="9" t="inlineStr">
        <is>
          <t>Solvent</t>
        </is>
      </c>
      <c r="C32" s="9" t="inlineStr">
        <is>
          <t>lg(b ' /m 2 s 1 )</t>
        </is>
      </c>
      <c r="D32" s="9" t="inlineStr">
        <is>
          <t>lg(c/m 2 s 1 )</t>
        </is>
      </c>
      <c r="E32" s="9" t="inlineStr">
        <is>
          <t>v</t>
        </is>
      </c>
    </row>
    <row r="33"/>
    <row r="34"/>
    <row r="35"/>
    <row r="36"/>
    <row r="37">
      <c r="A37" s="13" t="n">
        <v>0</v>
      </c>
      <c r="B37" s="12" t="inlineStr">
        <is>
          <t>D 2 O methanol-d4 acetone-d6</t>
        </is>
      </c>
      <c r="C37" s="12" t="inlineStr">
        <is>
          <t>8.23 � 0.01</t>
        </is>
      </c>
      <c r="D37" s="12" t="inlineStr">
        <is>
          <t>8.14 � 0.01</t>
        </is>
      </c>
      <c r="E37" s="12" t="inlineStr">
        <is>
          <t>0.49 � 0.01</t>
        </is>
      </c>
    </row>
    <row r="38"/>
    <row r="39"/>
    <row r="40"/>
    <row r="41"/>
    <row r="42">
      <c r="A42" s="13" t="n">
        <v>1</v>
      </c>
      <c r="B42" s="12" t="inlineStr"/>
      <c r="C42" s="12" t="inlineStr">
        <is>
          <t>8.06 � 0.01</t>
        </is>
      </c>
      <c r="D42" s="12" t="inlineStr">
        <is>
          <t>8.32 � 0.01</t>
        </is>
      </c>
      <c r="E42" s="12" t="inlineStr">
        <is>
          <t>0.45 � 0.01</t>
        </is>
      </c>
    </row>
    <row r="43"/>
    <row r="44"/>
    <row r="45"/>
    <row r="46"/>
    <row r="47">
      <c r="A47" s="13" t="n">
        <v>2</v>
      </c>
      <c r="B47" s="12" t="inlineStr"/>
      <c r="C47" s="12" t="inlineStr">
        <is>
          <t>7.94 � 0.01</t>
        </is>
      </c>
      <c r="D47" s="12" t="inlineStr">
        <is>
          <t>8.46 � 0.02</t>
        </is>
      </c>
      <c r="E47" s="12" t="inlineStr">
        <is>
          <t>0.41 � 0.01</t>
        </is>
      </c>
    </row>
    <row r="48"/>
    <row r="49"/>
    <row r="50"/>
    <row r="51"/>
    <row r="52">
      <c r="A52" s="13" t="n">
        <v>3</v>
      </c>
      <c r="B52" s="12" t="inlineStr">
        <is>
          <t>THF-d8</t>
        </is>
      </c>
      <c r="C52" s="12" t="inlineStr">
        <is>
          <t>7.94 � 0.01</t>
        </is>
      </c>
      <c r="D52" s="12" t="inlineStr">
        <is>
          <t>8.26 � 0.02</t>
        </is>
      </c>
      <c r="E52" s="12" t="inlineStr">
        <is>
          <t>0.46 � 0.01</t>
        </is>
      </c>
    </row>
    <row r="53"/>
    <row r="54"/>
    <row r="55"/>
    <row r="56"/>
    <row r="57">
      <c r="A57" s="13" t="n">
        <v>4</v>
      </c>
      <c r="B57" s="12" t="inlineStr">
        <is>
          <t>CDCl 3</t>
        </is>
      </c>
      <c r="C57" s="12" t="inlineStr">
        <is>
          <t>8.04 � 0.01</t>
        </is>
      </c>
      <c r="D57" s="12" t="inlineStr">
        <is>
          <t>8.08 � 0.02</t>
        </is>
      </c>
      <c r="E57" s="12" t="inlineStr">
        <is>
          <t>0.45 � 0.01</t>
        </is>
      </c>
    </row>
    <row r="58"/>
    <row r="59"/>
    <row r="60"/>
    <row r="61"/>
    <row r="62">
      <c r="A62" s="13" t="n">
        <v>5</v>
      </c>
      <c r="B62" s="12" t="inlineStr">
        <is>
          <t>ACN-d3</t>
        </is>
      </c>
      <c r="C62" s="12" t="inlineStr">
        <is>
          <t>7.88 � 0.01</t>
        </is>
      </c>
      <c r="D62" s="12" t="inlineStr">
        <is>
          <t>8.34 � 0.03</t>
        </is>
      </c>
      <c r="E62" s="12" t="inlineStr">
        <is>
          <t>0.44 � 0.01</t>
        </is>
      </c>
    </row>
  </sheetData>
  <mergeCells count="17">
    <mergeCell ref="A13:G13"/>
    <mergeCell ref="B16:G16"/>
    <mergeCell ref="B10:G10"/>
    <mergeCell ref="A1:G2"/>
    <mergeCell ref="B5:G5"/>
    <mergeCell ref="B14:G14"/>
    <mergeCell ref="A31:G31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2026-07-13T14:15:17Z</dcterms:created>
  <dcterms:modified xmlns:dcterms="http://purl.org/dc/terms/" xmlns:xsi="http://www.w3.org/2001/XMLSchema-instance" xsi:type="dcterms:W3CDTF">2026-07-13T14:15:17Z</dcterms:modified>
</cp:coreProperties>
</file>