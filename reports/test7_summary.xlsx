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1" sheetId="1" state="visible" r:id="rId1"/>
    <sheet xmlns:r="http://schemas.openxmlformats.org/officeDocument/2006/relationships" name="Table 2" sheetId="2" state="visible" r:id="rId2"/>
    <sheet xmlns:r="http://schemas.openxmlformats.org/officeDocument/2006/relationships" name="Table 3" sheetId="3" state="visible" r:id="rId3"/>
    <sheet xmlns:r="http://schemas.openxmlformats.org/officeDocument/2006/relationships" name="Table 4" sheetId="4" state="visible" r:id="rId4"/>
    <sheet xmlns:r="http://schemas.openxmlformats.org/officeDocument/2006/relationships" name="Table 5" sheetId="5" state="visible" r:id="rId5"/>
    <sheet xmlns:r="http://schemas.openxmlformats.org/officeDocument/2006/relationships" name="Table 6" sheetId="6" state="visible" r:id="rId6"/>
    <sheet xmlns:r="http://schemas.openxmlformats.org/officeDocument/2006/relationships" name="Table 7" sheetId="7" state="visible" r:id="rId7"/>
    <sheet xmlns:r="http://schemas.openxmlformats.org/officeDocument/2006/relationships" name="Table 8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1F497D"/>
      <sz val="16"/>
    </font>
    <font>
      <name val="Segoe UI"/>
      <b val="1"/>
      <color rgb="001F497D"/>
      <sz val="11"/>
    </font>
    <font>
      <name val="Segoe UI"/>
      <b val="1"/>
      <color rgb="00333333"/>
      <sz val="10"/>
    </font>
    <font>
      <name val="Segoe UI"/>
      <color rgb="00000000"/>
      <sz val="10"/>
    </font>
    <font>
      <name val="Segoe UI"/>
      <i val="1"/>
      <color rgb="00333333"/>
      <sz val="10"/>
    </font>
    <font>
      <name val="Segoe UI"/>
      <b val="1"/>
      <color rgb="00FFFFFF"/>
      <sz val="10"/>
    </font>
    <font>
      <name val="Segoe UI"/>
      <b val="1"/>
      <color rgb="007F7F7F"/>
      <sz val="9"/>
    </font>
    <font>
      <name val="Segoe UI"/>
      <i val="1"/>
      <color rgb="007F7F7F"/>
      <sz val="9"/>
    </font>
  </fonts>
  <fills count="5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B8CCE4"/>
        <bgColor rgb="00B8CCE4"/>
      </patternFill>
    </fill>
    <fill>
      <patternFill patternType="solid">
        <fgColor rgb="00366092"/>
        <bgColor rgb="00366092"/>
      </patternFill>
    </fill>
  </fills>
  <borders count="4">
    <border>
      <left/>
      <right/>
      <top/>
      <bottom/>
      <diagonal/>
    </border>
    <border>
      <bottom style="medium">
        <color rgb="001F497D"/>
      </bottom>
    </border>
    <border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1" pivotButton="0" quotePrefix="0" xfId="0"/>
    <xf numFmtId="0" fontId="0" fillId="3" borderId="1" pivotButton="0" quotePrefix="0" xfId="0"/>
    <xf numFmtId="0" fontId="3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5" fillId="0" borderId="2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right" vertical="center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right" vertical="center"/>
    </xf>
    <xf numFmtId="0" fontId="8" fillId="0" borderId="3" applyAlignment="1" pivotButton="0" quotePrefix="0" xfId="0">
      <alignment horizontal="left" vertical="center"/>
    </xf>
    <xf numFmtId="0" fontId="8" fillId="0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Flory Calibration Curves (log-log Plot)</a:t>
            </a:r>
          </a:p>
        </rich>
      </tx>
    </title>
    <plotArea>
      <lineChart>
        <grouping val="standard"/>
        <ser>
          <idx val="0"/>
          <order val="0"/>
          <tx>
            <strRef>
              <f>'Table 1'!E22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1'!$F$22:$G$22</f>
            </numRef>
          </val>
        </ser>
        <ser>
          <idx val="1"/>
          <order val="1"/>
          <tx>
            <strRef>
              <f>'Table 1'!E23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1'!$F$23:$G$23</f>
            </numRef>
          </val>
        </ser>
        <ser>
          <idx val="2"/>
          <order val="2"/>
          <tx>
            <strRef>
              <f>'Table 1'!E24</f>
            </strRef>
          </tx>
          <spPr>
            <a:ln xmlns:a="http://schemas.openxmlformats.org/drawingml/2006/main">
              <a:solidFill>
                <a:srgbClr val="9BBB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1'!$F$24:$G$24</f>
            </numRef>
          </val>
        </ser>
        <ser>
          <idx val="3"/>
          <order val="3"/>
          <tx>
            <strRef>
              <f>'Table 1'!E25</f>
            </strRef>
          </tx>
          <spPr>
            <a:ln xmlns:a="http://schemas.openxmlformats.org/drawingml/2006/main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1'!$F$25:$G$25</f>
            </numRef>
          </val>
        </ser>
        <ser>
          <idx val="4"/>
          <order val="4"/>
          <tx>
            <strRef>
              <f>'Table 1'!E26</f>
            </strRef>
          </tx>
          <spPr>
            <a:ln xmlns:a="http://schemas.openxmlformats.org/drawingml/2006/main">
              <a:solidFill>
                <a:srgbClr val="F796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1'!$F$26:$G$26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log(M / g mol⁻¹)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-8.960000000000001"/>
          <min val="-11.07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log(D / m² s⁻¹)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Flory Calibration Curves (log-log Plot)</a:t>
            </a:r>
          </a:p>
        </rich>
      </tx>
    </title>
    <plotArea>
      <lineChart>
        <grouping val="standard"/>
        <ser>
          <idx val="0"/>
          <order val="0"/>
          <tx>
            <strRef>
              <f>'Table 3'!E22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3'!$F$21:$G$21</f>
            </numRef>
          </cat>
          <val>
            <numRef>
              <f>'Table 3'!$F$22:$G$22</f>
            </numRef>
          </val>
        </ser>
        <ser>
          <idx val="1"/>
          <order val="1"/>
          <tx>
            <strRef>
              <f>'Table 3'!E23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3'!$F$21:$G$21</f>
            </numRef>
          </cat>
          <val>
            <numRef>
              <f>'Table 3'!$F$23:$G$23</f>
            </numRef>
          </val>
        </ser>
        <ser>
          <idx val="2"/>
          <order val="2"/>
          <tx>
            <strRef>
              <f>'Table 3'!E24</f>
            </strRef>
          </tx>
          <spPr>
            <a:ln xmlns:a="http://schemas.openxmlformats.org/drawingml/2006/main">
              <a:solidFill>
                <a:srgbClr val="9BBB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3'!$F$21:$G$21</f>
            </numRef>
          </cat>
          <val>
            <numRef>
              <f>'Table 3'!$F$24:$G$24</f>
            </numRef>
          </val>
        </ser>
        <ser>
          <idx val="3"/>
          <order val="3"/>
          <tx>
            <strRef>
              <f>'Table 3'!E25</f>
            </strRef>
          </tx>
          <spPr>
            <a:ln xmlns:a="http://schemas.openxmlformats.org/drawingml/2006/main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3'!$F$21:$G$21</f>
            </numRef>
          </cat>
          <val>
            <numRef>
              <f>'Table 3'!$F$25:$G$25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log(M / g mol⁻¹)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-8.960000000000001"/>
          <min val="-11.21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log(D / m² s⁻¹)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Flory Calibration Curves (log-log Plot)</a:t>
            </a:r>
          </a:p>
        </rich>
      </tx>
    </title>
    <plotArea>
      <lineChart>
        <grouping val="standard"/>
        <ser>
          <idx val="0"/>
          <order val="0"/>
          <tx>
            <strRef>
              <f>'Table 6'!E22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6'!$F$21:$G$21</f>
            </numRef>
          </cat>
          <val>
            <numRef>
              <f>'Table 6'!$F$22:$G$22</f>
            </numRef>
          </val>
        </ser>
        <ser>
          <idx val="1"/>
          <order val="1"/>
          <tx>
            <strRef>
              <f>'Table 6'!E23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6'!$F$21:$G$21</f>
            </numRef>
          </cat>
          <val>
            <numRef>
              <f>'Table 6'!$F$23:$G$23</f>
            </numRef>
          </val>
        </ser>
        <ser>
          <idx val="2"/>
          <order val="2"/>
          <tx>
            <strRef>
              <f>'Table 6'!E24</f>
            </strRef>
          </tx>
          <spPr>
            <a:ln xmlns:a="http://schemas.openxmlformats.org/drawingml/2006/main">
              <a:solidFill>
                <a:srgbClr val="9BBB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6'!$F$21:$G$21</f>
            </numRef>
          </cat>
          <val>
            <numRef>
              <f>'Table 6'!$F$24:$G$24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log(M / g mol⁻¹)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-9.08"/>
          <min val="-11.23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log(D / m² s⁻¹)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Flory Calibration Curves (log-log Plot)</a:t>
            </a:r>
          </a:p>
        </rich>
      </tx>
    </title>
    <plotArea>
      <lineChart>
        <grouping val="standard"/>
        <ser>
          <idx val="0"/>
          <order val="0"/>
          <tx>
            <strRef>
              <f>'Table 7'!E22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7'!$F$21:$G$21</f>
            </numRef>
          </cat>
          <val>
            <numRef>
              <f>'Table 7'!$F$22:$G$22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log(M / g mol⁻¹)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-9"/>
          <min val="-10.51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log(D / m² s⁻¹)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39" customWidth="1" min="2" max="2"/>
    <col width="25" customWidth="1" min="3" max="3"/>
    <col width="29" customWidth="1" min="4" max="4"/>
    <col width="26" customWidth="1" min="5" max="5"/>
    <col width="12" customWidth="1" min="6" max="6"/>
    <col width="12" customWidth="1" min="7" max="7"/>
  </cols>
  <sheetData>
    <row r="1">
      <c r="A1" s="1" t="inlineStr">
        <is>
          <t>test7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/>
    <row r="4">
      <c r="A4" s="3" t="inlineStr">
        <is>
          <t>PAPER METADATA &amp; EXPERIMENTAL CONDITIONS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Authors</t>
        </is>
      </c>
      <c r="B5" s="6" t="inlineStr"/>
      <c r="C5" s="7" t="n"/>
      <c r="D5" s="7" t="n"/>
      <c r="E5" s="7" t="n"/>
      <c r="F5" s="7" t="n"/>
      <c r="G5" s="7" t="n"/>
    </row>
    <row r="6">
      <c r="A6" s="5" t="inlineStr">
        <is>
          <t>DOI</t>
        </is>
      </c>
      <c r="B6" s="6" t="inlineStr"/>
      <c r="C6" s="7" t="n"/>
      <c r="D6" s="7" t="n"/>
      <c r="E6" s="7" t="n"/>
      <c r="F6" s="7" t="n"/>
      <c r="G6" s="7" t="n"/>
    </row>
    <row r="7">
      <c r="A7" s="5" t="inlineStr">
        <is>
          <t>Temperature</t>
        </is>
      </c>
      <c r="B7" s="6" t="inlineStr">
        <is>
          <t>Not applicable</t>
        </is>
      </c>
      <c r="C7" s="7" t="n"/>
      <c r="D7" s="7" t="n"/>
      <c r="E7" s="7" t="n"/>
      <c r="F7" s="7" t="n"/>
      <c r="G7" s="7" t="n"/>
    </row>
    <row r="8">
      <c r="A8" s="5" t="inlineStr">
        <is>
          <t>Pressure</t>
        </is>
      </c>
      <c r="B8" s="6" t="inlineStr">
        <is>
          <t>Not applicable</t>
        </is>
      </c>
      <c r="C8" s="7" t="n"/>
      <c r="D8" s="7" t="n"/>
      <c r="E8" s="7" t="n"/>
      <c r="F8" s="7" t="n"/>
      <c r="G8" s="7" t="n"/>
    </row>
    <row r="9">
      <c r="A9" s="5" t="inlineStr">
        <is>
          <t>Chemicals</t>
        </is>
      </c>
      <c r="B9" s="6" t="inlineStr">
        <is>
          <t>pMMA, Toluene, Benzene, Acetone, THF</t>
        </is>
      </c>
      <c r="C9" s="7" t="n"/>
      <c r="D9" s="7" t="n"/>
      <c r="E9" s="7" t="n"/>
      <c r="F9" s="7" t="n"/>
      <c r="G9" s="7" t="n"/>
    </row>
    <row r="10" ht="45" customHeight="1">
      <c r="A10" s="5" t="inlineStr">
        <is>
          <t>Description</t>
        </is>
      </c>
      <c r="B10" s="8" t="inlineStr">
        <is>
          <t>Calibration curves for pMMA standards in different solvents using DOSY NMR</t>
        </is>
      </c>
      <c r="C10" s="7" t="n"/>
      <c r="D10" s="7" t="n"/>
      <c r="E10" s="7" t="n"/>
      <c r="F10" s="7" t="n"/>
      <c r="G10" s="7" t="n"/>
    </row>
    <row r="11">
      <c r="A11" s="5" t="inlineStr">
        <is>
          <t>Other Stats</t>
        </is>
      </c>
      <c r="B11" s="6" t="inlineStr"/>
      <c r="C11" s="7" t="n"/>
      <c r="D11" s="7" t="n"/>
      <c r="E11" s="7" t="n"/>
      <c r="F11" s="7" t="n"/>
      <c r="G11" s="7" t="n"/>
    </row>
    <row r="12"/>
    <row r="13">
      <c r="A13" s="3" t="inlineStr">
        <is>
          <t>TABLE CATEGORISATION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Contains Scientific Data</t>
        </is>
      </c>
      <c r="B14" s="6" t="inlineStr">
        <is>
          <t>Yes</t>
        </is>
      </c>
      <c r="C14" s="7" t="n"/>
      <c r="D14" s="7" t="n"/>
      <c r="E14" s="7" t="n"/>
      <c r="F14" s="7" t="n"/>
      <c r="G14" s="7" t="n"/>
    </row>
    <row r="15">
      <c r="A15" s="5" t="inlineStr">
        <is>
          <t>Contains Raw Diffusion Data</t>
        </is>
      </c>
      <c r="B15" s="6" t="inlineStr">
        <is>
          <t>No</t>
        </is>
      </c>
      <c r="C15" s="7" t="n"/>
      <c r="D15" s="7" t="n"/>
      <c r="E15" s="7" t="n"/>
      <c r="F15" s="7" t="n"/>
      <c r="G15" s="7" t="n"/>
    </row>
    <row r="16">
      <c r="A16" s="5" t="inlineStr">
        <is>
          <t>Contains Mark-Houwink Parameters</t>
        </is>
      </c>
      <c r="B16" s="6" t="inlineStr">
        <is>
          <t>No</t>
        </is>
      </c>
      <c r="C16" s="7" t="n"/>
      <c r="D16" s="7" t="n"/>
      <c r="E16" s="7" t="n"/>
      <c r="F16" s="7" t="n"/>
      <c r="G16" s="7" t="n"/>
    </row>
    <row r="17">
      <c r="A17" s="5" t="inlineStr">
        <is>
          <t>Contains Flory Parameters</t>
        </is>
      </c>
      <c r="B17" s="6" t="inlineStr">
        <is>
          <t>Yes</t>
        </is>
      </c>
      <c r="C17" s="7" t="n"/>
      <c r="D17" s="7" t="n"/>
      <c r="E17" s="7" t="n"/>
      <c r="F17" s="7" t="n"/>
      <c r="G17" s="7" t="n"/>
    </row>
    <row r="18">
      <c r="A18" s="5" t="inlineStr">
        <is>
          <t>Contains Polymer Diffusion Coefficients</t>
        </is>
      </c>
      <c r="B18" s="6" t="inlineStr">
        <is>
          <t>Yes</t>
        </is>
      </c>
      <c r="C18" s="7" t="n"/>
      <c r="D18" s="7" t="n"/>
      <c r="E18" s="7" t="n"/>
      <c r="F18" s="7" t="n"/>
      <c r="G18" s="7" t="n"/>
    </row>
    <row r="19"/>
    <row r="20">
      <c r="A20" s="3" t="inlineStr">
        <is>
          <t>FLORY PARAMETERS (INTERPRETATION)</t>
        </is>
      </c>
      <c r="B20" s="4" t="n"/>
      <c r="C20" s="4" t="n"/>
      <c r="D20" s="4" t="n"/>
      <c r="E20" s="4" t="n"/>
      <c r="F20" s="4" t="n"/>
      <c r="G20" s="4" t="n"/>
    </row>
    <row r="21">
      <c r="A21" s="9" t="inlineStr">
        <is>
          <t>Polymer</t>
        </is>
      </c>
      <c r="B21" s="9" t="inlineStr">
        <is>
          <t>Solvent</t>
        </is>
      </c>
      <c r="C21" s="9" t="inlineStr">
        <is>
          <t>c_value (log Constant)</t>
        </is>
      </c>
      <c r="D21" s="9" t="inlineStr">
        <is>
          <t>v_value (Scaling Exponent)</t>
        </is>
      </c>
      <c r="E21" s="10" t="inlineStr">
        <is>
          <t>Series</t>
        </is>
      </c>
      <c r="F21" s="11" t="n">
        <v>3</v>
      </c>
      <c r="G21" s="11" t="n">
        <v>6</v>
      </c>
    </row>
    <row r="22">
      <c r="A22" s="12" t="inlineStr">
        <is>
          <t>pMMA</t>
        </is>
      </c>
      <c r="B22" s="12" t="inlineStr">
        <is>
          <t>Toluene</t>
        </is>
      </c>
      <c r="C22" s="13" t="n">
        <v>-8.109999999999999</v>
      </c>
      <c r="D22" s="13" t="n">
        <v>0.43</v>
      </c>
      <c r="E22" s="14" t="inlineStr">
        <is>
          <t>pMMA in Toluene</t>
        </is>
      </c>
      <c r="F22" s="15">
        <f>C22-D22*3</f>
        <v/>
      </c>
      <c r="G22" s="15">
        <f>C22-D22*6</f>
        <v/>
      </c>
    </row>
    <row r="23">
      <c r="A23" s="12" t="inlineStr">
        <is>
          <t>pMMA</t>
        </is>
      </c>
      <c r="B23" s="12" t="inlineStr">
        <is>
          <t>Benzene</t>
        </is>
      </c>
      <c r="C23" s="13" t="n">
        <v>-7.91</v>
      </c>
      <c r="D23" s="13" t="n">
        <v>0.48</v>
      </c>
      <c r="E23" s="14" t="inlineStr">
        <is>
          <t>pMMA in Benzene</t>
        </is>
      </c>
      <c r="F23" s="15">
        <f>C23-D23*3</f>
        <v/>
      </c>
      <c r="G23" s="15">
        <f>C23-D23*6</f>
        <v/>
      </c>
    </row>
    <row r="24">
      <c r="A24" s="12" t="inlineStr">
        <is>
          <t>pMMA</t>
        </is>
      </c>
      <c r="B24" s="12" t="inlineStr">
        <is>
          <t>sAcetone</t>
        </is>
      </c>
      <c r="C24" s="13" t="n">
        <v>-7.74</v>
      </c>
      <c r="D24" s="13" t="n">
        <v>0.44</v>
      </c>
      <c r="E24" s="14" t="inlineStr">
        <is>
          <t>pMMA in sAcetone</t>
        </is>
      </c>
      <c r="F24" s="15">
        <f>C24-D24*3</f>
        <v/>
      </c>
      <c r="G24" s="15">
        <f>C24-D24*6</f>
        <v/>
      </c>
    </row>
    <row r="25">
      <c r="A25" s="12" t="inlineStr">
        <is>
          <t>pMMA</t>
        </is>
      </c>
      <c r="B25" s="12" t="inlineStr">
        <is>
          <t>THF</t>
        </is>
      </c>
      <c r="C25" s="13" t="n">
        <v>-8.02</v>
      </c>
      <c r="D25" s="13" t="n">
        <v>0.43</v>
      </c>
      <c r="E25" s="14" t="inlineStr">
        <is>
          <t>pMMA in THF</t>
        </is>
      </c>
      <c r="F25" s="15">
        <f>C25-D25*3</f>
        <v/>
      </c>
      <c r="G25" s="15">
        <f>C25-D25*6</f>
        <v/>
      </c>
    </row>
    <row r="26">
      <c r="A26" s="12" t="inlineStr">
        <is>
          <t>pMMA</t>
        </is>
      </c>
      <c r="B26" s="12" t="inlineStr">
        <is>
          <t>D x η corrected</t>
        </is>
      </c>
      <c r="C26" s="13" t="n">
        <v>-8.27</v>
      </c>
      <c r="D26" s="13" t="n">
        <v>0.45</v>
      </c>
      <c r="E26" s="14" t="inlineStr">
        <is>
          <t>pMMA in D x η corrected</t>
        </is>
      </c>
      <c r="F26" s="15">
        <f>C26-D26*3</f>
        <v/>
      </c>
      <c r="G26" s="15">
        <f>C26-D26*6</f>
        <v/>
      </c>
    </row>
    <row r="27"/>
    <row r="28"/>
    <row r="29">
      <c r="A29" s="3" t="inlineStr">
        <is>
          <t>EXTRACTED RAW TABLE DATA</t>
        </is>
      </c>
      <c r="B29" s="4" t="n"/>
      <c r="C29" s="4" t="n"/>
      <c r="D29" s="4" t="n"/>
      <c r="E29" s="4" t="n"/>
      <c r="F29" s="4" t="n"/>
      <c r="G29" s="4" t="n"/>
    </row>
    <row r="30">
      <c r="A30" s="9" t="inlineStr"/>
      <c r="B30" s="9" t="inlineStr">
        <is>
          <t>Sample</t>
        </is>
      </c>
      <c r="C30" s="9" t="inlineStr">
        <is>
          <t>lg( b ′ /m 2 s - 1 )</t>
        </is>
      </c>
      <c r="D30" s="9" t="inlineStr">
        <is>
          <t>v</t>
        </is>
      </c>
    </row>
    <row r="31">
      <c r="A31" s="13" t="n">
        <v>0</v>
      </c>
      <c r="B31" s="12" t="inlineStr">
        <is>
          <t>Toluene</t>
        </is>
      </c>
      <c r="C31" s="12" t="inlineStr">
        <is>
          <t>- 8.11</t>
        </is>
      </c>
      <c r="D31" s="13" t="n">
        <v>0.43</v>
      </c>
    </row>
    <row r="32">
      <c r="A32" s="13" t="n">
        <v>1</v>
      </c>
      <c r="B32" s="12" t="inlineStr">
        <is>
          <t>Benzene</t>
        </is>
      </c>
      <c r="C32" s="12" t="inlineStr">
        <is>
          <t>- 7.91</t>
        </is>
      </c>
      <c r="D32" s="13" t="n">
        <v>0.48</v>
      </c>
    </row>
    <row r="33">
      <c r="A33" s="13" t="n">
        <v>2</v>
      </c>
      <c r="B33" s="12" t="inlineStr">
        <is>
          <t>Acetone</t>
        </is>
      </c>
      <c r="C33" s="12" t="inlineStr">
        <is>
          <t>- 7.74</t>
        </is>
      </c>
      <c r="D33" s="13" t="n">
        <v>0.44</v>
      </c>
    </row>
    <row r="34">
      <c r="A34" s="13" t="n">
        <v>3</v>
      </c>
      <c r="B34" s="12" t="inlineStr">
        <is>
          <t>THF</t>
        </is>
      </c>
      <c r="C34" s="12" t="inlineStr">
        <is>
          <t>- 8.02</t>
        </is>
      </c>
      <c r="D34" s="13" t="n">
        <v>0.43</v>
      </c>
    </row>
    <row r="35">
      <c r="A35" s="13" t="n">
        <v>4</v>
      </c>
      <c r="B35" s="12" t="inlineStr">
        <is>
          <t>D × η corrected</t>
        </is>
      </c>
      <c r="C35" s="12" t="inlineStr">
        <is>
          <t>- 8.27</t>
        </is>
      </c>
      <c r="D35" s="13" t="n">
        <v>0.45</v>
      </c>
    </row>
  </sheetData>
  <mergeCells count="17">
    <mergeCell ref="A13:G13"/>
    <mergeCell ref="B16:G16"/>
    <mergeCell ref="B10:G10"/>
    <mergeCell ref="A1:G2"/>
    <mergeCell ref="B5:G5"/>
    <mergeCell ref="B14:G14"/>
    <mergeCell ref="B17:G17"/>
    <mergeCell ref="B9:G9"/>
    <mergeCell ref="A4:G4"/>
    <mergeCell ref="B8:G8"/>
    <mergeCell ref="A20:G20"/>
    <mergeCell ref="B18:G18"/>
    <mergeCell ref="A29:G29"/>
    <mergeCell ref="B15:G15"/>
    <mergeCell ref="B7:G7"/>
    <mergeCell ref="B11:G11"/>
    <mergeCell ref="B6:G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5" customWidth="1" min="3" max="3"/>
    <col width="25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test7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/>
    <row r="4">
      <c r="A4" s="3" t="inlineStr">
        <is>
          <t>PAPER METADATA &amp; EXPERIMENTAL CONDITIONS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Authors</t>
        </is>
      </c>
      <c r="B5" s="6" t="inlineStr"/>
      <c r="C5" s="7" t="n"/>
      <c r="D5" s="7" t="n"/>
      <c r="E5" s="7" t="n"/>
      <c r="F5" s="7" t="n"/>
      <c r="G5" s="7" t="n"/>
    </row>
    <row r="6">
      <c r="A6" s="5" t="inlineStr">
        <is>
          <t>DOI</t>
        </is>
      </c>
      <c r="B6" s="6" t="inlineStr"/>
      <c r="C6" s="7" t="n"/>
      <c r="D6" s="7" t="n"/>
      <c r="E6" s="7" t="n"/>
      <c r="F6" s="7" t="n"/>
      <c r="G6" s="7" t="n"/>
    </row>
    <row r="7">
      <c r="A7" s="5" t="inlineStr">
        <is>
          <t>Temperature</t>
        </is>
      </c>
      <c r="B7" s="6" t="inlineStr">
        <is>
          <t>Not applicable</t>
        </is>
      </c>
      <c r="C7" s="7" t="n"/>
      <c r="D7" s="7" t="n"/>
      <c r="E7" s="7" t="n"/>
      <c r="F7" s="7" t="n"/>
      <c r="G7" s="7" t="n"/>
    </row>
    <row r="8">
      <c r="A8" s="5" t="inlineStr">
        <is>
          <t>Pressure</t>
        </is>
      </c>
      <c r="B8" s="6" t="inlineStr">
        <is>
          <t>Not applicable</t>
        </is>
      </c>
      <c r="C8" s="7" t="n"/>
      <c r="D8" s="7" t="n"/>
      <c r="E8" s="7" t="n"/>
      <c r="F8" s="7" t="n"/>
      <c r="G8" s="7" t="n"/>
    </row>
    <row r="9">
      <c r="A9" s="5" t="inlineStr">
        <is>
          <t>Chemicals</t>
        </is>
      </c>
      <c r="B9" s="6" t="inlineStr">
        <is>
          <t>poly(butyl acrylate), pBA</t>
        </is>
      </c>
      <c r="C9" s="7" t="n"/>
      <c r="D9" s="7" t="n"/>
      <c r="E9" s="7" t="n"/>
      <c r="F9" s="7" t="n"/>
      <c r="G9" s="7" t="n"/>
    </row>
    <row r="10" ht="45" customHeight="1">
      <c r="A10" s="5" t="inlineStr">
        <is>
          <t>Description</t>
        </is>
      </c>
      <c r="B10" s="8" t="inlineStr">
        <is>
          <t>MALLS and SEC results of poly(butyl acrylate), pBA, homopolymers with various degrees of polymerization (DPs)</t>
        </is>
      </c>
      <c r="C10" s="7" t="n"/>
      <c r="D10" s="7" t="n"/>
      <c r="E10" s="7" t="n"/>
      <c r="F10" s="7" t="n"/>
      <c r="G10" s="7" t="n"/>
    </row>
    <row r="11">
      <c r="A11" s="5" t="inlineStr">
        <is>
          <t>Other Stats</t>
        </is>
      </c>
      <c r="B11" s="6" t="inlineStr">
        <is>
          <t>MALLS M w (g mol - 1 ): 4500, 6100, 5400, 9700, 7400, 11800, SEC M w a (g mol - 1 ): 6800, 7800, 7200, 12200, 8600, 10600, SEC a Đ: 1.07, 1.14, 1.12, 1.11, 1.09, 1.19</t>
        </is>
      </c>
      <c r="C11" s="7" t="n"/>
      <c r="D11" s="7" t="n"/>
      <c r="E11" s="7" t="n"/>
      <c r="F11" s="7" t="n"/>
      <c r="G11" s="7" t="n"/>
    </row>
    <row r="12"/>
    <row r="13">
      <c r="A13" s="3" t="inlineStr">
        <is>
          <t>TABLE CATEGORISATION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Contains Scientific Data</t>
        </is>
      </c>
      <c r="B14" s="6" t="inlineStr">
        <is>
          <t>Yes</t>
        </is>
      </c>
      <c r="C14" s="7" t="n"/>
      <c r="D14" s="7" t="n"/>
      <c r="E14" s="7" t="n"/>
      <c r="F14" s="7" t="n"/>
      <c r="G14" s="7" t="n"/>
    </row>
    <row r="15">
      <c r="A15" s="5" t="inlineStr">
        <is>
          <t>Contains Raw Diffusion Data</t>
        </is>
      </c>
      <c r="B15" s="6" t="inlineStr">
        <is>
          <t>No</t>
        </is>
      </c>
      <c r="C15" s="7" t="n"/>
      <c r="D15" s="7" t="n"/>
      <c r="E15" s="7" t="n"/>
      <c r="F15" s="7" t="n"/>
      <c r="G15" s="7" t="n"/>
    </row>
    <row r="16">
      <c r="A16" s="5" t="inlineStr">
        <is>
          <t>Contains Mark-Houwink Parameters</t>
        </is>
      </c>
      <c r="B16" s="6" t="inlineStr">
        <is>
          <t>No</t>
        </is>
      </c>
      <c r="C16" s="7" t="n"/>
      <c r="D16" s="7" t="n"/>
      <c r="E16" s="7" t="n"/>
      <c r="F16" s="7" t="n"/>
      <c r="G16" s="7" t="n"/>
    </row>
    <row r="17">
      <c r="A17" s="5" t="inlineStr">
        <is>
          <t>Contains Flory Parameters</t>
        </is>
      </c>
      <c r="B17" s="6" t="inlineStr">
        <is>
          <t>No</t>
        </is>
      </c>
      <c r="C17" s="7" t="n"/>
      <c r="D17" s="7" t="n"/>
      <c r="E17" s="7" t="n"/>
      <c r="F17" s="7" t="n"/>
      <c r="G17" s="7" t="n"/>
    </row>
    <row r="18">
      <c r="A18" s="5" t="inlineStr">
        <is>
          <t>Contains Polymer Diffusion Coefficients</t>
        </is>
      </c>
      <c r="B18" s="6" t="inlineStr">
        <is>
          <t>No</t>
        </is>
      </c>
      <c r="C18" s="7" t="n"/>
      <c r="D18" s="7" t="n"/>
      <c r="E18" s="7" t="n"/>
      <c r="F18" s="7" t="n"/>
      <c r="G18" s="7" t="n"/>
    </row>
    <row r="19"/>
    <row r="20">
      <c r="A20" s="3" t="inlineStr">
        <is>
          <t>EXTRACTED RAW TABLE DATA</t>
        </is>
      </c>
      <c r="B20" s="4" t="n"/>
      <c r="C20" s="4" t="n"/>
      <c r="D20" s="4" t="n"/>
      <c r="E20" s="4" t="n"/>
      <c r="F20" s="4" t="n"/>
      <c r="G20" s="4" t="n"/>
    </row>
    <row r="21">
      <c r="A21" s="9" t="inlineStr"/>
      <c r="B21" s="9" t="inlineStr">
        <is>
          <t>Sample</t>
        </is>
      </c>
      <c r="C21" s="9" t="inlineStr">
        <is>
          <t>MALLS M w (g mol - 1 )</t>
        </is>
      </c>
      <c r="D21" s="9" t="inlineStr">
        <is>
          <t>SEC M w a (g mol - 1 )</t>
        </is>
      </c>
      <c r="E21" s="9" t="inlineStr">
        <is>
          <t>SEC a Đ</t>
        </is>
      </c>
    </row>
    <row r="22">
      <c r="A22" s="13" t="n">
        <v>0</v>
      </c>
      <c r="B22" s="12" t="inlineStr">
        <is>
          <t>pBA35</t>
        </is>
      </c>
      <c r="C22" s="13" t="n">
        <v>4500</v>
      </c>
      <c r="D22" s="13" t="n">
        <v>6800</v>
      </c>
      <c r="E22" s="13" t="n">
        <v>1.07</v>
      </c>
    </row>
    <row r="23">
      <c r="A23" s="13" t="n">
        <v>1</v>
      </c>
      <c r="B23" s="12" t="inlineStr">
        <is>
          <t>pBA55</t>
        </is>
      </c>
      <c r="C23" s="13" t="n">
        <v>6100</v>
      </c>
      <c r="D23" s="13" t="n">
        <v>7800</v>
      </c>
      <c r="E23" s="13" t="n">
        <v>1.14</v>
      </c>
    </row>
    <row r="24">
      <c r="A24" s="13" t="n">
        <v>2</v>
      </c>
      <c r="B24" s="12" t="inlineStr">
        <is>
          <t>pBA60</t>
        </is>
      </c>
      <c r="C24" s="13" t="n">
        <v>5400</v>
      </c>
      <c r="D24" s="13" t="n">
        <v>7200</v>
      </c>
      <c r="E24" s="13" t="n">
        <v>1.12</v>
      </c>
    </row>
    <row r="25">
      <c r="A25" s="13" t="n">
        <v>3</v>
      </c>
      <c r="B25" s="12" t="inlineStr">
        <is>
          <t>pBA75</t>
        </is>
      </c>
      <c r="C25" s="13" t="n">
        <v>9700</v>
      </c>
      <c r="D25" s="12" t="inlineStr">
        <is>
          <t>12 200</t>
        </is>
      </c>
      <c r="E25" s="13" t="n">
        <v>1.11</v>
      </c>
    </row>
    <row r="26">
      <c r="A26" s="13" t="n">
        <v>4</v>
      </c>
      <c r="B26" s="12" t="inlineStr">
        <is>
          <t>pBA80</t>
        </is>
      </c>
      <c r="C26" s="13" t="n">
        <v>7400</v>
      </c>
      <c r="D26" s="13" t="n">
        <v>8600</v>
      </c>
      <c r="E26" s="13" t="n">
        <v>1.09</v>
      </c>
    </row>
    <row r="27">
      <c r="A27" s="13" t="n">
        <v>5</v>
      </c>
      <c r="B27" s="12" t="inlineStr">
        <is>
          <t>pBA100</t>
        </is>
      </c>
      <c r="C27" s="12" t="inlineStr">
        <is>
          <t>11 800</t>
        </is>
      </c>
      <c r="D27" s="12" t="inlineStr">
        <is>
          <t>10 600</t>
        </is>
      </c>
      <c r="E27" s="13" t="n">
        <v>1.19</v>
      </c>
    </row>
  </sheetData>
  <mergeCells count="16">
    <mergeCell ref="A13:G13"/>
    <mergeCell ref="B16:G16"/>
    <mergeCell ref="B10:G10"/>
    <mergeCell ref="A1:G2"/>
    <mergeCell ref="B5:G5"/>
    <mergeCell ref="B14:G14"/>
    <mergeCell ref="B17:G17"/>
    <mergeCell ref="B9:G9"/>
    <mergeCell ref="A4:G4"/>
    <mergeCell ref="B8:G8"/>
    <mergeCell ref="A20:G20"/>
    <mergeCell ref="B18:G18"/>
    <mergeCell ref="B15:G15"/>
    <mergeCell ref="B7:G7"/>
    <mergeCell ref="B11:G11"/>
    <mergeCell ref="B6:G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5" customWidth="1" min="3" max="3"/>
    <col width="29" customWidth="1" min="4" max="4"/>
    <col width="40" customWidth="1" min="5" max="5"/>
    <col width="12" customWidth="1" min="6" max="6"/>
    <col width="12" customWidth="1" min="7" max="7"/>
  </cols>
  <sheetData>
    <row r="1">
      <c r="A1" s="1" t="inlineStr">
        <is>
          <t>test7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/>
    <row r="4">
      <c r="A4" s="3" t="inlineStr">
        <is>
          <t>PAPER METADATA &amp; EXPERIMENTAL CONDITIONS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Authors</t>
        </is>
      </c>
      <c r="B5" s="6" t="inlineStr"/>
      <c r="C5" s="7" t="n"/>
      <c r="D5" s="7" t="n"/>
      <c r="E5" s="7" t="n"/>
      <c r="F5" s="7" t="n"/>
      <c r="G5" s="7" t="n"/>
    </row>
    <row r="6">
      <c r="A6" s="5" t="inlineStr">
        <is>
          <t>DOI</t>
        </is>
      </c>
      <c r="B6" s="6" t="inlineStr"/>
      <c r="C6" s="7" t="n"/>
      <c r="D6" s="7" t="n"/>
      <c r="E6" s="7" t="n"/>
      <c r="F6" s="7" t="n"/>
      <c r="G6" s="7" t="n"/>
    </row>
    <row r="7">
      <c r="A7" s="5" t="inlineStr">
        <is>
          <t>Temperature</t>
        </is>
      </c>
      <c r="B7" s="6" t="inlineStr">
        <is>
          <t>Not applicable</t>
        </is>
      </c>
      <c r="C7" s="7" t="n"/>
      <c r="D7" s="7" t="n"/>
      <c r="E7" s="7" t="n"/>
      <c r="F7" s="7" t="n"/>
      <c r="G7" s="7" t="n"/>
    </row>
    <row r="8">
      <c r="A8" s="5" t="inlineStr">
        <is>
          <t>Pressure</t>
        </is>
      </c>
      <c r="B8" s="6" t="inlineStr">
        <is>
          <t>Not applicable</t>
        </is>
      </c>
      <c r="C8" s="7" t="n"/>
      <c r="D8" s="7" t="n"/>
      <c r="E8" s="7" t="n"/>
      <c r="F8" s="7" t="n"/>
      <c r="G8" s="7" t="n"/>
    </row>
    <row r="9">
      <c r="A9" s="5" t="inlineStr">
        <is>
          <t>Chemicals</t>
        </is>
      </c>
      <c r="B9" s="6" t="inlineStr">
        <is>
          <t>poly(butyl acrylate), benzene, acetone, chloroform</t>
        </is>
      </c>
      <c r="C9" s="7" t="n"/>
      <c r="D9" s="7" t="n"/>
      <c r="E9" s="7" t="n"/>
      <c r="F9" s="7" t="n"/>
      <c r="G9" s="7" t="n"/>
    </row>
    <row r="10" ht="45" customHeight="1">
      <c r="A10" s="5" t="inlineStr">
        <is>
          <t>Description</t>
        </is>
      </c>
      <c r="B10" s="8" t="inlineStr">
        <is>
          <t>Calibration parameters for poly(butyl acrylate) (pBA) in various solvents</t>
        </is>
      </c>
      <c r="C10" s="7" t="n"/>
      <c r="D10" s="7" t="n"/>
      <c r="E10" s="7" t="n"/>
      <c r="F10" s="7" t="n"/>
      <c r="G10" s="7" t="n"/>
    </row>
    <row r="11">
      <c r="A11" s="5" t="inlineStr">
        <is>
          <t>Other Stats</t>
        </is>
      </c>
      <c r="B11" s="6" t="inlineStr"/>
      <c r="C11" s="7" t="n"/>
      <c r="D11" s="7" t="n"/>
      <c r="E11" s="7" t="n"/>
      <c r="F11" s="7" t="n"/>
      <c r="G11" s="7" t="n"/>
    </row>
    <row r="12"/>
    <row r="13">
      <c r="A13" s="3" t="inlineStr">
        <is>
          <t>TABLE CATEGORISATION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Contains Scientific Data</t>
        </is>
      </c>
      <c r="B14" s="6" t="inlineStr">
        <is>
          <t>Yes</t>
        </is>
      </c>
      <c r="C14" s="7" t="n"/>
      <c r="D14" s="7" t="n"/>
      <c r="E14" s="7" t="n"/>
      <c r="F14" s="7" t="n"/>
      <c r="G14" s="7" t="n"/>
    </row>
    <row r="15">
      <c r="A15" s="5" t="inlineStr">
        <is>
          <t>Contains Raw Diffusion Data</t>
        </is>
      </c>
      <c r="B15" s="6" t="inlineStr">
        <is>
          <t>No</t>
        </is>
      </c>
      <c r="C15" s="7" t="n"/>
      <c r="D15" s="7" t="n"/>
      <c r="E15" s="7" t="n"/>
      <c r="F15" s="7" t="n"/>
      <c r="G15" s="7" t="n"/>
    </row>
    <row r="16">
      <c r="A16" s="5" t="inlineStr">
        <is>
          <t>Contains Mark-Houwink Parameters</t>
        </is>
      </c>
      <c r="B16" s="6" t="inlineStr">
        <is>
          <t>No</t>
        </is>
      </c>
      <c r="C16" s="7" t="n"/>
      <c r="D16" s="7" t="n"/>
      <c r="E16" s="7" t="n"/>
      <c r="F16" s="7" t="n"/>
      <c r="G16" s="7" t="n"/>
    </row>
    <row r="17">
      <c r="A17" s="5" t="inlineStr">
        <is>
          <t>Contains Flory Parameters</t>
        </is>
      </c>
      <c r="B17" s="6" t="inlineStr">
        <is>
          <t>Yes</t>
        </is>
      </c>
      <c r="C17" s="7" t="n"/>
      <c r="D17" s="7" t="n"/>
      <c r="E17" s="7" t="n"/>
      <c r="F17" s="7" t="n"/>
      <c r="G17" s="7" t="n"/>
    </row>
    <row r="18">
      <c r="A18" s="5" t="inlineStr">
        <is>
          <t>Contains Polymer Diffusion Coefficients</t>
        </is>
      </c>
      <c r="B18" s="6" t="inlineStr">
        <is>
          <t>Yes</t>
        </is>
      </c>
      <c r="C18" s="7" t="n"/>
      <c r="D18" s="7" t="n"/>
      <c r="E18" s="7" t="n"/>
      <c r="F18" s="7" t="n"/>
      <c r="G18" s="7" t="n"/>
    </row>
    <row r="19"/>
    <row r="20">
      <c r="A20" s="3" t="inlineStr">
        <is>
          <t>FLORY PARAMETERS (INTERPRETATION)</t>
        </is>
      </c>
      <c r="B20" s="4" t="n"/>
      <c r="C20" s="4" t="n"/>
      <c r="D20" s="4" t="n"/>
      <c r="E20" s="4" t="n"/>
      <c r="F20" s="4" t="n"/>
      <c r="G20" s="4" t="n"/>
    </row>
    <row r="21">
      <c r="A21" s="9" t="inlineStr">
        <is>
          <t>Polymer</t>
        </is>
      </c>
      <c r="B21" s="9" t="inlineStr">
        <is>
          <t>Solvent</t>
        </is>
      </c>
      <c r="C21" s="9" t="inlineStr">
        <is>
          <t>c_value (log Constant)</t>
        </is>
      </c>
      <c r="D21" s="9" t="inlineStr">
        <is>
          <t>v_value (Scaling Exponent)</t>
        </is>
      </c>
      <c r="E21" s="10" t="inlineStr">
        <is>
          <t>Series</t>
        </is>
      </c>
      <c r="F21" s="11" t="n">
        <v>3</v>
      </c>
      <c r="G21" s="11" t="n">
        <v>6</v>
      </c>
    </row>
    <row r="22">
      <c r="A22" s="12" t="inlineStr">
        <is>
          <t>poly(butyl acrylate)</t>
        </is>
      </c>
      <c r="B22" s="12" t="inlineStr">
        <is>
          <t>Benzene</t>
        </is>
      </c>
      <c r="C22" s="13" t="n">
        <v>-7.83</v>
      </c>
      <c r="D22" s="13" t="n">
        <v>0.51</v>
      </c>
      <c r="E22" s="14" t="inlineStr">
        <is>
          <t>poly(butyl acrylate) in Benzene</t>
        </is>
      </c>
      <c r="F22" s="15">
        <f>C22-D22*3</f>
        <v/>
      </c>
      <c r="G22" s="15">
        <f>C22-D22*6</f>
        <v/>
      </c>
    </row>
    <row r="23">
      <c r="A23" s="12" t="inlineStr">
        <is>
          <t>poly(butyl acrylate)</t>
        </is>
      </c>
      <c r="B23" s="12" t="inlineStr">
        <is>
          <t>Acetone</t>
        </is>
      </c>
      <c r="C23" s="13" t="n">
        <v>-7.56</v>
      </c>
      <c r="D23" s="13" t="n">
        <v>0.5</v>
      </c>
      <c r="E23" s="14" t="inlineStr">
        <is>
          <t>poly(butyl acrylate) in Acetone</t>
        </is>
      </c>
      <c r="F23" s="15">
        <f>C23-D23*3</f>
        <v/>
      </c>
      <c r="G23" s="15">
        <f>C23-D23*6</f>
        <v/>
      </c>
    </row>
    <row r="24">
      <c r="A24" s="12" t="inlineStr">
        <is>
          <t>poly(butyl acrylate)</t>
        </is>
      </c>
      <c r="B24" s="12" t="inlineStr">
        <is>
          <t>Chloroform</t>
        </is>
      </c>
      <c r="C24" s="13" t="n">
        <v>-7.86</v>
      </c>
      <c r="D24" s="13" t="n">
        <v>0.5</v>
      </c>
      <c r="E24" s="14" t="inlineStr">
        <is>
          <t>poly(butyl acrylate) in Chloroform</t>
        </is>
      </c>
      <c r="F24" s="15">
        <f>C24-D24*3</f>
        <v/>
      </c>
      <c r="G24" s="15">
        <f>C24-D24*6</f>
        <v/>
      </c>
    </row>
    <row r="25">
      <c r="A25" s="12" t="inlineStr">
        <is>
          <t>poly(butyl acrylate)</t>
        </is>
      </c>
      <c r="B25" s="12" t="inlineStr">
        <is>
          <t>D x η corrected</t>
        </is>
      </c>
      <c r="C25" s="13" t="n">
        <v>-8.050000000000001</v>
      </c>
      <c r="D25" s="13" t="n">
        <v>0.51</v>
      </c>
      <c r="E25" s="14" t="inlineStr">
        <is>
          <t>poly(butyl acrylate) in D x η corrected</t>
        </is>
      </c>
      <c r="F25" s="15">
        <f>C25-D25*3</f>
        <v/>
      </c>
      <c r="G25" s="15">
        <f>C25-D25*6</f>
        <v/>
      </c>
    </row>
    <row r="26"/>
    <row r="27"/>
    <row r="28">
      <c r="A28" s="3" t="inlineStr">
        <is>
          <t>EXTRACTED RAW TABLE DATA</t>
        </is>
      </c>
      <c r="B28" s="4" t="n"/>
      <c r="C28" s="4" t="n"/>
      <c r="D28" s="4" t="n"/>
      <c r="E28" s="4" t="n"/>
      <c r="F28" s="4" t="n"/>
      <c r="G28" s="4" t="n"/>
    </row>
    <row r="29">
      <c r="A29" s="9" t="inlineStr"/>
      <c r="B29" s="9" t="inlineStr">
        <is>
          <t>Sample</t>
        </is>
      </c>
      <c r="C29" s="9" t="inlineStr">
        <is>
          <t>lg( b ′ /m 2 s - 1 )</t>
        </is>
      </c>
      <c r="D29" s="9" t="inlineStr">
        <is>
          <t>v</t>
        </is>
      </c>
    </row>
    <row r="30">
      <c r="A30" s="13" t="n">
        <v>0</v>
      </c>
      <c r="B30" s="12" t="inlineStr">
        <is>
          <t>Benzene</t>
        </is>
      </c>
      <c r="C30" s="12" t="inlineStr">
        <is>
          <t>- 7.83</t>
        </is>
      </c>
      <c r="D30" s="13" t="n">
        <v>0.51</v>
      </c>
    </row>
    <row r="31">
      <c r="A31" s="13" t="n">
        <v>1</v>
      </c>
      <c r="B31" s="12" t="inlineStr">
        <is>
          <t>Acetone</t>
        </is>
      </c>
      <c r="C31" s="12" t="inlineStr">
        <is>
          <t>- 7.56</t>
        </is>
      </c>
      <c r="D31" s="13" t="n">
        <v>0.5</v>
      </c>
    </row>
    <row r="32">
      <c r="A32" s="13" t="n">
        <v>2</v>
      </c>
      <c r="B32" s="12" t="inlineStr">
        <is>
          <t>Chloroform</t>
        </is>
      </c>
      <c r="C32" s="12" t="inlineStr">
        <is>
          <t>- 7.86</t>
        </is>
      </c>
      <c r="D32" s="13" t="n">
        <v>0.5</v>
      </c>
    </row>
    <row r="33">
      <c r="A33" s="13" t="n">
        <v>3</v>
      </c>
      <c r="B33" s="12" t="inlineStr">
        <is>
          <t>D × η corrected</t>
        </is>
      </c>
      <c r="C33" s="12" t="inlineStr">
        <is>
          <t>- 8.05</t>
        </is>
      </c>
      <c r="D33" s="13" t="n">
        <v>0.51</v>
      </c>
    </row>
  </sheetData>
  <mergeCells count="17">
    <mergeCell ref="A13:G13"/>
    <mergeCell ref="B16:G16"/>
    <mergeCell ref="B10:G10"/>
    <mergeCell ref="A1:G2"/>
    <mergeCell ref="B5:G5"/>
    <mergeCell ref="B14:G14"/>
    <mergeCell ref="B17:G17"/>
    <mergeCell ref="B9:G9"/>
    <mergeCell ref="A4:G4"/>
    <mergeCell ref="B8:G8"/>
    <mergeCell ref="A20:G20"/>
    <mergeCell ref="B18:G18"/>
    <mergeCell ref="A28:G28"/>
    <mergeCell ref="B15:G15"/>
    <mergeCell ref="B7:G7"/>
    <mergeCell ref="B11:G11"/>
    <mergeCell ref="B6:G6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5" customWidth="1" min="3" max="3"/>
    <col width="25" customWidth="1" min="4" max="4"/>
    <col width="12" customWidth="1" min="5" max="5"/>
    <col width="22" customWidth="1" min="6" max="6"/>
    <col width="12" customWidth="1" min="7" max="7"/>
  </cols>
  <sheetData>
    <row r="1">
      <c r="A1" s="1" t="inlineStr">
        <is>
          <t>test7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/>
    <row r="4">
      <c r="A4" s="3" t="inlineStr">
        <is>
          <t>PAPER METADATA &amp; EXPERIMENTAL CONDITIONS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Authors</t>
        </is>
      </c>
      <c r="B5" s="6" t="inlineStr"/>
      <c r="C5" s="7" t="n"/>
      <c r="D5" s="7" t="n"/>
      <c r="E5" s="7" t="n"/>
      <c r="F5" s="7" t="n"/>
      <c r="G5" s="7" t="n"/>
    </row>
    <row r="6">
      <c r="A6" s="5" t="inlineStr">
        <is>
          <t>DOI</t>
        </is>
      </c>
      <c r="B6" s="6" t="inlineStr"/>
      <c r="C6" s="7" t="n"/>
      <c r="D6" s="7" t="n"/>
      <c r="E6" s="7" t="n"/>
      <c r="F6" s="7" t="n"/>
      <c r="G6" s="7" t="n"/>
    </row>
    <row r="7">
      <c r="A7" s="5" t="inlineStr">
        <is>
          <t>Temperature</t>
        </is>
      </c>
      <c r="B7" s="6" t="inlineStr">
        <is>
          <t>Not applicable</t>
        </is>
      </c>
      <c r="C7" s="7" t="n"/>
      <c r="D7" s="7" t="n"/>
      <c r="E7" s="7" t="n"/>
      <c r="F7" s="7" t="n"/>
      <c r="G7" s="7" t="n"/>
    </row>
    <row r="8">
      <c r="A8" s="5" t="inlineStr">
        <is>
          <t>Pressure</t>
        </is>
      </c>
      <c r="B8" s="6" t="inlineStr">
        <is>
          <t>Not applicable</t>
        </is>
      </c>
      <c r="C8" s="7" t="n"/>
      <c r="D8" s="7" t="n"/>
      <c r="E8" s="7" t="n"/>
      <c r="F8" s="7" t="n"/>
      <c r="G8" s="7" t="n"/>
    </row>
    <row r="9">
      <c r="A9" s="5" t="inlineStr">
        <is>
          <t>Chemicals</t>
        </is>
      </c>
      <c r="B9" s="6" t="inlineStr">
        <is>
          <t>poly(butyl acrylate), poly(methyl acrylate), pBA-pMA block copolymer</t>
        </is>
      </c>
      <c r="C9" s="7" t="n"/>
      <c r="D9" s="7" t="n"/>
      <c r="E9" s="7" t="n"/>
      <c r="F9" s="7" t="n"/>
      <c r="G9" s="7" t="n"/>
    </row>
    <row r="10" ht="45" customHeight="1">
      <c r="A10" s="5" t="inlineStr">
        <is>
          <t>Description</t>
        </is>
      </c>
      <c r="B10" s="8" t="inlineStr">
        <is>
          <t>MALLS, SEC and DOSY results of pBA-pMA block copolymer samples with various DPs</t>
        </is>
      </c>
      <c r="C10" s="7" t="n"/>
      <c r="D10" s="7" t="n"/>
      <c r="E10" s="7" t="n"/>
      <c r="F10" s="7" t="n"/>
      <c r="G10" s="7" t="n"/>
    </row>
    <row r="11">
      <c r="A11" s="5" t="inlineStr">
        <is>
          <t>Other Stats</t>
        </is>
      </c>
      <c r="B11" s="6" t="inlineStr"/>
      <c r="C11" s="7" t="n"/>
      <c r="D11" s="7" t="n"/>
      <c r="E11" s="7" t="n"/>
      <c r="F11" s="7" t="n"/>
      <c r="G11" s="7" t="n"/>
    </row>
    <row r="12"/>
    <row r="13">
      <c r="A13" s="3" t="inlineStr">
        <is>
          <t>TABLE CATEGORISATION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Contains Scientific Data</t>
        </is>
      </c>
      <c r="B14" s="6" t="inlineStr">
        <is>
          <t>Yes</t>
        </is>
      </c>
      <c r="C14" s="7" t="n"/>
      <c r="D14" s="7" t="n"/>
      <c r="E14" s="7" t="n"/>
      <c r="F14" s="7" t="n"/>
      <c r="G14" s="7" t="n"/>
    </row>
    <row r="15">
      <c r="A15" s="5" t="inlineStr">
        <is>
          <t>Contains Raw Diffusion Data</t>
        </is>
      </c>
      <c r="B15" s="6" t="inlineStr">
        <is>
          <t>No</t>
        </is>
      </c>
      <c r="C15" s="7" t="n"/>
      <c r="D15" s="7" t="n"/>
      <c r="E15" s="7" t="n"/>
      <c r="F15" s="7" t="n"/>
      <c r="G15" s="7" t="n"/>
    </row>
    <row r="16">
      <c r="A16" s="5" t="inlineStr">
        <is>
          <t>Contains Mark-Houwink Parameters</t>
        </is>
      </c>
      <c r="B16" s="6" t="inlineStr">
        <is>
          <t>No</t>
        </is>
      </c>
      <c r="C16" s="7" t="n"/>
      <c r="D16" s="7" t="n"/>
      <c r="E16" s="7" t="n"/>
      <c r="F16" s="7" t="n"/>
      <c r="G16" s="7" t="n"/>
    </row>
    <row r="17">
      <c r="A17" s="5" t="inlineStr">
        <is>
          <t>Contains Flory Parameters</t>
        </is>
      </c>
      <c r="B17" s="6" t="inlineStr">
        <is>
          <t>No</t>
        </is>
      </c>
      <c r="C17" s="7" t="n"/>
      <c r="D17" s="7" t="n"/>
      <c r="E17" s="7" t="n"/>
      <c r="F17" s="7" t="n"/>
      <c r="G17" s="7" t="n"/>
    </row>
    <row r="18">
      <c r="A18" s="5" t="inlineStr">
        <is>
          <t>Contains Polymer Diffusion Coefficients</t>
        </is>
      </c>
      <c r="B18" s="6" t="inlineStr">
        <is>
          <t>No</t>
        </is>
      </c>
      <c r="C18" s="7" t="n"/>
      <c r="D18" s="7" t="n"/>
      <c r="E18" s="7" t="n"/>
      <c r="F18" s="7" t="n"/>
      <c r="G18" s="7" t="n"/>
    </row>
    <row r="19"/>
    <row r="20">
      <c r="A20" s="3" t="inlineStr">
        <is>
          <t>EXTRACTED RAW TABLE DATA</t>
        </is>
      </c>
      <c r="B20" s="4" t="n"/>
      <c r="C20" s="4" t="n"/>
      <c r="D20" s="4" t="n"/>
      <c r="E20" s="4" t="n"/>
      <c r="F20" s="4" t="n"/>
      <c r="G20" s="4" t="n"/>
    </row>
    <row r="21">
      <c r="A21" s="9" t="inlineStr"/>
      <c r="B21" s="9" t="inlineStr">
        <is>
          <t>Sample</t>
        </is>
      </c>
      <c r="C21" s="9" t="inlineStr">
        <is>
          <t>MALLS M w (g mol - 1 )</t>
        </is>
      </c>
      <c r="D21" s="9" t="inlineStr">
        <is>
          <t>SEC a M w (g mol - 1 )</t>
        </is>
      </c>
      <c r="E21" s="9" t="inlineStr">
        <is>
          <t>SEC a Đ</t>
        </is>
      </c>
      <c r="F21" s="9" t="inlineStr">
        <is>
          <t>DOSYMW (g mol - 1 )</t>
        </is>
      </c>
    </row>
    <row r="22">
      <c r="A22" s="13" t="n">
        <v>0</v>
      </c>
      <c r="B22" s="12" t="inlineStr">
        <is>
          <t>pBA35-pMA30</t>
        </is>
      </c>
      <c r="C22" s="13" t="n">
        <v>6100</v>
      </c>
      <c r="D22" s="13" t="n">
        <v>7700</v>
      </c>
      <c r="E22" s="13" t="n">
        <v>1.15</v>
      </c>
      <c r="F22" s="13" t="n">
        <v>6060</v>
      </c>
    </row>
    <row r="23">
      <c r="A23" s="13" t="n">
        <v>1</v>
      </c>
      <c r="B23" s="12" t="inlineStr">
        <is>
          <t>pBA35-pMA60</t>
        </is>
      </c>
      <c r="C23" s="13" t="n">
        <v>8000</v>
      </c>
      <c r="D23" s="12" t="inlineStr">
        <is>
          <t>10 200</t>
        </is>
      </c>
      <c r="E23" s="13" t="n">
        <v>1.22</v>
      </c>
      <c r="F23" s="13" t="n">
        <v>7710</v>
      </c>
    </row>
    <row r="24">
      <c r="A24" s="13" t="n">
        <v>2</v>
      </c>
      <c r="B24" s="12" t="inlineStr">
        <is>
          <t>pBA35-pMA90</t>
        </is>
      </c>
      <c r="C24" s="13" t="n">
        <v>8900</v>
      </c>
      <c r="D24" s="13" t="n">
        <v>9600</v>
      </c>
      <c r="E24" s="13" t="n">
        <v>1.1</v>
      </c>
      <c r="F24" s="13" t="n">
        <v>8350</v>
      </c>
    </row>
    <row r="25">
      <c r="A25" s="13" t="n">
        <v>3</v>
      </c>
      <c r="B25" s="12" t="inlineStr">
        <is>
          <t>pBA35-pMA120</t>
        </is>
      </c>
      <c r="C25" s="13" t="n">
        <v>9500</v>
      </c>
      <c r="D25" s="12" t="inlineStr">
        <is>
          <t>11 100</t>
        </is>
      </c>
      <c r="E25" s="13" t="n">
        <v>1.16</v>
      </c>
      <c r="F25" s="13" t="n">
        <v>8690</v>
      </c>
    </row>
    <row r="26">
      <c r="A26" s="13" t="n">
        <v>4</v>
      </c>
      <c r="B26" s="12" t="inlineStr">
        <is>
          <t>pBA55-pMA30</t>
        </is>
      </c>
      <c r="C26" s="13" t="n">
        <v>7600</v>
      </c>
      <c r="D26" s="13" t="n">
        <v>9200</v>
      </c>
      <c r="E26" s="13" t="n">
        <v>1.16</v>
      </c>
      <c r="F26" s="13" t="n">
        <v>7330</v>
      </c>
    </row>
    <row r="27">
      <c r="A27" s="13" t="n">
        <v>5</v>
      </c>
      <c r="B27" s="12" t="inlineStr">
        <is>
          <t>pBA55-pMA60</t>
        </is>
      </c>
      <c r="C27" s="13" t="n">
        <v>8700</v>
      </c>
      <c r="D27" s="13" t="n">
        <v>9500</v>
      </c>
      <c r="E27" s="13" t="n">
        <v>1.16</v>
      </c>
      <c r="F27" s="13" t="n">
        <v>8460</v>
      </c>
    </row>
    <row r="28">
      <c r="A28" s="13" t="n">
        <v>6</v>
      </c>
      <c r="B28" s="12" t="inlineStr">
        <is>
          <t>pBA55-pMA90</t>
        </is>
      </c>
      <c r="C28" s="13" t="n">
        <v>9400</v>
      </c>
      <c r="D28" s="12" t="inlineStr">
        <is>
          <t>11 000</t>
        </is>
      </c>
      <c r="E28" s="13" t="n">
        <v>1.12</v>
      </c>
      <c r="F28" s="13" t="n">
        <v>8930</v>
      </c>
    </row>
    <row r="29">
      <c r="A29" s="13" t="n">
        <v>7</v>
      </c>
      <c r="B29" s="12" t="inlineStr">
        <is>
          <t>pBA55-pMA120</t>
        </is>
      </c>
      <c r="C29" s="12" t="inlineStr">
        <is>
          <t>10 200</t>
        </is>
      </c>
      <c r="D29" s="12" t="inlineStr">
        <is>
          <t>11 100</t>
        </is>
      </c>
      <c r="E29" s="13" t="n">
        <v>1.16</v>
      </c>
      <c r="F29" s="13" t="n">
        <v>9450</v>
      </c>
    </row>
    <row r="30">
      <c r="A30" s="13" t="n">
        <v>8</v>
      </c>
      <c r="B30" s="12" t="inlineStr">
        <is>
          <t>pBA75-pMA60</t>
        </is>
      </c>
      <c r="C30" s="12" t="inlineStr">
        <is>
          <t>11 200</t>
        </is>
      </c>
      <c r="D30" s="12" t="inlineStr">
        <is>
          <t>12 500</t>
        </is>
      </c>
      <c r="E30" s="13" t="n">
        <v>1.15</v>
      </c>
      <c r="F30" s="12" t="inlineStr">
        <is>
          <t>10 960</t>
        </is>
      </c>
    </row>
    <row r="31">
      <c r="A31" s="13" t="n">
        <v>9</v>
      </c>
      <c r="B31" s="12" t="inlineStr">
        <is>
          <t>pBA75-pMA90</t>
        </is>
      </c>
      <c r="C31" s="12" t="inlineStr">
        <is>
          <t>13 800</t>
        </is>
      </c>
      <c r="D31" s="12" t="inlineStr">
        <is>
          <t>16 100</t>
        </is>
      </c>
      <c r="E31" s="13" t="n">
        <v>1.15</v>
      </c>
      <c r="F31" s="12" t="inlineStr">
        <is>
          <t>13 310</t>
        </is>
      </c>
    </row>
    <row r="32">
      <c r="A32" s="13" t="n">
        <v>10</v>
      </c>
      <c r="B32" s="12" t="inlineStr">
        <is>
          <t>pBA75-pMA120</t>
        </is>
      </c>
      <c r="C32" s="12" t="inlineStr">
        <is>
          <t>14 200</t>
        </is>
      </c>
      <c r="D32" s="12" t="inlineStr">
        <is>
          <t>14 700</t>
        </is>
      </c>
      <c r="E32" s="13" t="n">
        <v>1.12</v>
      </c>
      <c r="F32" s="12" t="inlineStr">
        <is>
          <t>13 780</t>
        </is>
      </c>
    </row>
  </sheetData>
  <mergeCells count="16">
    <mergeCell ref="A13:G13"/>
    <mergeCell ref="B16:G16"/>
    <mergeCell ref="B10:G10"/>
    <mergeCell ref="A1:G2"/>
    <mergeCell ref="B5:G5"/>
    <mergeCell ref="B14:G14"/>
    <mergeCell ref="B17:G17"/>
    <mergeCell ref="B9:G9"/>
    <mergeCell ref="A4:G4"/>
    <mergeCell ref="B8:G8"/>
    <mergeCell ref="A20:G20"/>
    <mergeCell ref="B18:G18"/>
    <mergeCell ref="B15:G15"/>
    <mergeCell ref="B7:G7"/>
    <mergeCell ref="B11:G11"/>
    <mergeCell ref="B6:G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5" customWidth="1" min="3" max="3"/>
    <col width="25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test7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/>
    <row r="4">
      <c r="A4" s="3" t="inlineStr">
        <is>
          <t>PAPER METADATA &amp; EXPERIMENTAL CONDITIONS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Authors</t>
        </is>
      </c>
      <c r="B5" s="6" t="inlineStr"/>
      <c r="C5" s="7" t="n"/>
      <c r="D5" s="7" t="n"/>
      <c r="E5" s="7" t="n"/>
      <c r="F5" s="7" t="n"/>
      <c r="G5" s="7" t="n"/>
    </row>
    <row r="6">
      <c r="A6" s="5" t="inlineStr">
        <is>
          <t>DOI</t>
        </is>
      </c>
      <c r="B6" s="6" t="inlineStr"/>
      <c r="C6" s="7" t="n"/>
      <c r="D6" s="7" t="n"/>
      <c r="E6" s="7" t="n"/>
      <c r="F6" s="7" t="n"/>
      <c r="G6" s="7" t="n"/>
    </row>
    <row r="7">
      <c r="A7" s="5" t="inlineStr">
        <is>
          <t>Temperature</t>
        </is>
      </c>
      <c r="B7" s="6" t="inlineStr">
        <is>
          <t>Not applicable</t>
        </is>
      </c>
      <c r="C7" s="7" t="n"/>
      <c r="D7" s="7" t="n"/>
      <c r="E7" s="7" t="n"/>
      <c r="F7" s="7" t="n"/>
      <c r="G7" s="7" t="n"/>
    </row>
    <row r="8">
      <c r="A8" s="5" t="inlineStr">
        <is>
          <t>Pressure</t>
        </is>
      </c>
      <c r="B8" s="6" t="inlineStr">
        <is>
          <t>Not applicable</t>
        </is>
      </c>
      <c r="C8" s="7" t="n"/>
      <c r="D8" s="7" t="n"/>
      <c r="E8" s="7" t="n"/>
      <c r="F8" s="7" t="n"/>
      <c r="G8" s="7" t="n"/>
    </row>
    <row r="9">
      <c r="A9" s="5" t="inlineStr">
        <is>
          <t>Chemicals</t>
        </is>
      </c>
      <c r="B9" s="6" t="inlineStr">
        <is>
          <t>pPEGMEA</t>
        </is>
      </c>
      <c r="C9" s="7" t="n"/>
      <c r="D9" s="7" t="n"/>
      <c r="E9" s="7" t="n"/>
      <c r="F9" s="7" t="n"/>
      <c r="G9" s="7" t="n"/>
    </row>
    <row r="10" ht="45" customHeight="1">
      <c r="A10" s="5" t="inlineStr">
        <is>
          <t>Description</t>
        </is>
      </c>
      <c r="B10" s="8" t="inlineStr">
        <is>
          <t>MALLS and SEC results of PEGMEA samples with various degrees of polymerization (DPs)</t>
        </is>
      </c>
      <c r="C10" s="7" t="n"/>
      <c r="D10" s="7" t="n"/>
      <c r="E10" s="7" t="n"/>
      <c r="F10" s="7" t="n"/>
      <c r="G10" s="7" t="n"/>
    </row>
    <row r="11">
      <c r="A11" s="5" t="inlineStr">
        <is>
          <t>Other Stats</t>
        </is>
      </c>
      <c r="B11" s="6" t="inlineStr">
        <is>
          <t>MALLS Mw: g mol-1, SEC Mwa: g mol-1, SEC Đ: unitless</t>
        </is>
      </c>
      <c r="C11" s="7" t="n"/>
      <c r="D11" s="7" t="n"/>
      <c r="E11" s="7" t="n"/>
      <c r="F11" s="7" t="n"/>
      <c r="G11" s="7" t="n"/>
    </row>
    <row r="12"/>
    <row r="13">
      <c r="A13" s="3" t="inlineStr">
        <is>
          <t>TABLE CATEGORISATION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Contains Scientific Data</t>
        </is>
      </c>
      <c r="B14" s="6" t="inlineStr">
        <is>
          <t>Yes</t>
        </is>
      </c>
      <c r="C14" s="7" t="n"/>
      <c r="D14" s="7" t="n"/>
      <c r="E14" s="7" t="n"/>
      <c r="F14" s="7" t="n"/>
      <c r="G14" s="7" t="n"/>
    </row>
    <row r="15">
      <c r="A15" s="5" t="inlineStr">
        <is>
          <t>Contains Raw Diffusion Data</t>
        </is>
      </c>
      <c r="B15" s="6" t="inlineStr">
        <is>
          <t>No</t>
        </is>
      </c>
      <c r="C15" s="7" t="n"/>
      <c r="D15" s="7" t="n"/>
      <c r="E15" s="7" t="n"/>
      <c r="F15" s="7" t="n"/>
      <c r="G15" s="7" t="n"/>
    </row>
    <row r="16">
      <c r="A16" s="5" t="inlineStr">
        <is>
          <t>Contains Mark-Houwink Parameters</t>
        </is>
      </c>
      <c r="B16" s="6" t="inlineStr">
        <is>
          <t>No</t>
        </is>
      </c>
      <c r="C16" s="7" t="n"/>
      <c r="D16" s="7" t="n"/>
      <c r="E16" s="7" t="n"/>
      <c r="F16" s="7" t="n"/>
      <c r="G16" s="7" t="n"/>
    </row>
    <row r="17">
      <c r="A17" s="5" t="inlineStr">
        <is>
          <t>Contains Flory Parameters</t>
        </is>
      </c>
      <c r="B17" s="6" t="inlineStr">
        <is>
          <t>No</t>
        </is>
      </c>
      <c r="C17" s="7" t="n"/>
      <c r="D17" s="7" t="n"/>
      <c r="E17" s="7" t="n"/>
      <c r="F17" s="7" t="n"/>
      <c r="G17" s="7" t="n"/>
    </row>
    <row r="18">
      <c r="A18" s="5" t="inlineStr">
        <is>
          <t>Contains Polymer Diffusion Coefficients</t>
        </is>
      </c>
      <c r="B18" s="6" t="inlineStr">
        <is>
          <t>No</t>
        </is>
      </c>
      <c r="C18" s="7" t="n"/>
      <c r="D18" s="7" t="n"/>
      <c r="E18" s="7" t="n"/>
      <c r="F18" s="7" t="n"/>
      <c r="G18" s="7" t="n"/>
    </row>
    <row r="19"/>
    <row r="20">
      <c r="A20" s="3" t="inlineStr">
        <is>
          <t>EXTRACTED RAW TABLE DATA</t>
        </is>
      </c>
      <c r="B20" s="4" t="n"/>
      <c r="C20" s="4" t="n"/>
      <c r="D20" s="4" t="n"/>
      <c r="E20" s="4" t="n"/>
      <c r="F20" s="4" t="n"/>
      <c r="G20" s="4" t="n"/>
    </row>
    <row r="21">
      <c r="A21" s="9" t="inlineStr"/>
      <c r="B21" s="9" t="inlineStr">
        <is>
          <t>Sample</t>
        </is>
      </c>
      <c r="C21" s="9" t="inlineStr">
        <is>
          <t>MALLS M w (g mol - 1 )</t>
        </is>
      </c>
      <c r="D21" s="9" t="inlineStr">
        <is>
          <t>SEC M w a (g mol - 1 )</t>
        </is>
      </c>
      <c r="E21" s="9" t="inlineStr">
        <is>
          <t>SEC Đ</t>
        </is>
      </c>
    </row>
    <row r="22">
      <c r="A22" s="13" t="n">
        <v>0</v>
      </c>
      <c r="B22" s="12" t="inlineStr">
        <is>
          <t>pPEGMEA15</t>
        </is>
      </c>
      <c r="C22" s="13" t="n">
        <v>6500</v>
      </c>
      <c r="D22" s="13" t="n">
        <v>7800</v>
      </c>
      <c r="E22" s="13" t="n">
        <v>1.33</v>
      </c>
    </row>
    <row r="23">
      <c r="A23" s="13" t="n">
        <v>1</v>
      </c>
      <c r="B23" s="12" t="inlineStr">
        <is>
          <t>pPEGMEA20</t>
        </is>
      </c>
      <c r="C23" s="12" t="inlineStr">
        <is>
          <t>10 500</t>
        </is>
      </c>
      <c r="D23" s="13" t="n">
        <v>7800</v>
      </c>
      <c r="E23" s="13" t="n">
        <v>1.23</v>
      </c>
    </row>
    <row r="24">
      <c r="A24" s="13" t="n">
        <v>2</v>
      </c>
      <c r="B24" s="12" t="inlineStr">
        <is>
          <t>pPEGMEA40</t>
        </is>
      </c>
      <c r="C24" s="12" t="inlineStr">
        <is>
          <t>16 200</t>
        </is>
      </c>
      <c r="D24" s="12" t="inlineStr">
        <is>
          <t>10 100</t>
        </is>
      </c>
      <c r="E24" s="13" t="n">
        <v>1.36</v>
      </c>
    </row>
    <row r="25">
      <c r="A25" s="13" t="n">
        <v>3</v>
      </c>
      <c r="B25" s="12" t="inlineStr">
        <is>
          <t>pPEGMEA60</t>
        </is>
      </c>
      <c r="C25" s="12" t="inlineStr">
        <is>
          <t>19 700</t>
        </is>
      </c>
      <c r="D25" s="12" t="inlineStr">
        <is>
          <t>10 900</t>
        </is>
      </c>
      <c r="E25" s="13" t="n">
        <v>1.37</v>
      </c>
    </row>
    <row r="26">
      <c r="A26" s="13" t="n">
        <v>4</v>
      </c>
      <c r="B26" s="12" t="inlineStr">
        <is>
          <t>pPEGMEA80</t>
        </is>
      </c>
      <c r="C26" s="12" t="inlineStr">
        <is>
          <t>19 600</t>
        </is>
      </c>
      <c r="D26" s="12" t="inlineStr">
        <is>
          <t>11 100</t>
        </is>
      </c>
      <c r="E26" s="13" t="n">
        <v>1.35</v>
      </c>
    </row>
    <row r="27">
      <c r="A27" s="13" t="n">
        <v>5</v>
      </c>
      <c r="B27" s="12" t="inlineStr">
        <is>
          <t>pPEGMEA100</t>
        </is>
      </c>
      <c r="C27" s="12" t="inlineStr">
        <is>
          <t>19 800</t>
        </is>
      </c>
      <c r="D27" s="12" t="inlineStr">
        <is>
          <t>11 600</t>
        </is>
      </c>
      <c r="E27" s="13" t="n">
        <v>1.38</v>
      </c>
    </row>
  </sheetData>
  <mergeCells count="16">
    <mergeCell ref="A13:G13"/>
    <mergeCell ref="B16:G16"/>
    <mergeCell ref="B10:G10"/>
    <mergeCell ref="A1:G2"/>
    <mergeCell ref="B5:G5"/>
    <mergeCell ref="B14:G14"/>
    <mergeCell ref="B17:G17"/>
    <mergeCell ref="B9:G9"/>
    <mergeCell ref="A4:G4"/>
    <mergeCell ref="B8:G8"/>
    <mergeCell ref="A20:G20"/>
    <mergeCell ref="B18:G18"/>
    <mergeCell ref="B15:G15"/>
    <mergeCell ref="B7:G7"/>
    <mergeCell ref="B11:G11"/>
    <mergeCell ref="B6:G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25" customWidth="1" min="3" max="3"/>
    <col width="29" customWidth="1" min="4" max="4"/>
    <col width="29" customWidth="1" min="5" max="5"/>
    <col width="12" customWidth="1" min="6" max="6"/>
    <col width="12" customWidth="1" min="7" max="7"/>
  </cols>
  <sheetData>
    <row r="1">
      <c r="A1" s="1" t="inlineStr">
        <is>
          <t>test7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/>
    <row r="4">
      <c r="A4" s="3" t="inlineStr">
        <is>
          <t>PAPER METADATA &amp; EXPERIMENTAL CONDITIONS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Authors</t>
        </is>
      </c>
      <c r="B5" s="6" t="inlineStr"/>
      <c r="C5" s="7" t="n"/>
      <c r="D5" s="7" t="n"/>
      <c r="E5" s="7" t="n"/>
      <c r="F5" s="7" t="n"/>
      <c r="G5" s="7" t="n"/>
    </row>
    <row r="6">
      <c r="A6" s="5" t="inlineStr">
        <is>
          <t>DOI</t>
        </is>
      </c>
      <c r="B6" s="6" t="inlineStr"/>
      <c r="C6" s="7" t="n"/>
      <c r="D6" s="7" t="n"/>
      <c r="E6" s="7" t="n"/>
      <c r="F6" s="7" t="n"/>
      <c r="G6" s="7" t="n"/>
    </row>
    <row r="7">
      <c r="A7" s="5" t="inlineStr">
        <is>
          <t>Temperature</t>
        </is>
      </c>
      <c r="B7" s="6" t="inlineStr">
        <is>
          <t>Not applicable</t>
        </is>
      </c>
      <c r="C7" s="7" t="n"/>
      <c r="D7" s="7" t="n"/>
      <c r="E7" s="7" t="n"/>
      <c r="F7" s="7" t="n"/>
      <c r="G7" s="7" t="n"/>
    </row>
    <row r="8">
      <c r="A8" s="5" t="inlineStr">
        <is>
          <t>Pressure</t>
        </is>
      </c>
      <c r="B8" s="6" t="inlineStr">
        <is>
          <t>Not applicable</t>
        </is>
      </c>
      <c r="C8" s="7" t="n"/>
      <c r="D8" s="7" t="n"/>
      <c r="E8" s="7" t="n"/>
      <c r="F8" s="7" t="n"/>
      <c r="G8" s="7" t="n"/>
    </row>
    <row r="9">
      <c r="A9" s="5" t="inlineStr">
        <is>
          <t>Chemicals</t>
        </is>
      </c>
      <c r="B9" s="6" t="inlineStr">
        <is>
          <t>pPEGMEA, Water, Acetone</t>
        </is>
      </c>
      <c r="C9" s="7" t="n"/>
      <c r="D9" s="7" t="n"/>
      <c r="E9" s="7" t="n"/>
      <c r="F9" s="7" t="n"/>
      <c r="G9" s="7" t="n"/>
    </row>
    <row r="10" ht="45" customHeight="1">
      <c r="A10" s="5" t="inlineStr">
        <is>
          <t>Description</t>
        </is>
      </c>
      <c r="B10" s="8" t="inlineStr">
        <is>
          <t>DOSY molecular weight calibration parameters for pPEGMEA in different solvents</t>
        </is>
      </c>
      <c r="C10" s="7" t="n"/>
      <c r="D10" s="7" t="n"/>
      <c r="E10" s="7" t="n"/>
      <c r="F10" s="7" t="n"/>
      <c r="G10" s="7" t="n"/>
    </row>
    <row r="11">
      <c r="A11" s="5" t="inlineStr">
        <is>
          <t>Other Stats</t>
        </is>
      </c>
      <c r="B11" s="6" t="inlineStr"/>
      <c r="C11" s="7" t="n"/>
      <c r="D11" s="7" t="n"/>
      <c r="E11" s="7" t="n"/>
      <c r="F11" s="7" t="n"/>
      <c r="G11" s="7" t="n"/>
    </row>
    <row r="12"/>
    <row r="13">
      <c r="A13" s="3" t="inlineStr">
        <is>
          <t>TABLE CATEGORISATION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Contains Scientific Data</t>
        </is>
      </c>
      <c r="B14" s="6" t="inlineStr">
        <is>
          <t>Yes</t>
        </is>
      </c>
      <c r="C14" s="7" t="n"/>
      <c r="D14" s="7" t="n"/>
      <c r="E14" s="7" t="n"/>
      <c r="F14" s="7" t="n"/>
      <c r="G14" s="7" t="n"/>
    </row>
    <row r="15">
      <c r="A15" s="5" t="inlineStr">
        <is>
          <t>Contains Raw Diffusion Data</t>
        </is>
      </c>
      <c r="B15" s="6" t="inlineStr">
        <is>
          <t>No</t>
        </is>
      </c>
      <c r="C15" s="7" t="n"/>
      <c r="D15" s="7" t="n"/>
      <c r="E15" s="7" t="n"/>
      <c r="F15" s="7" t="n"/>
      <c r="G15" s="7" t="n"/>
    </row>
    <row r="16">
      <c r="A16" s="5" t="inlineStr">
        <is>
          <t>Contains Mark-Houwink Parameters</t>
        </is>
      </c>
      <c r="B16" s="6" t="inlineStr">
        <is>
          <t>No</t>
        </is>
      </c>
      <c r="C16" s="7" t="n"/>
      <c r="D16" s="7" t="n"/>
      <c r="E16" s="7" t="n"/>
      <c r="F16" s="7" t="n"/>
      <c r="G16" s="7" t="n"/>
    </row>
    <row r="17">
      <c r="A17" s="5" t="inlineStr">
        <is>
          <t>Contains Flory Parameters</t>
        </is>
      </c>
      <c r="B17" s="6" t="inlineStr">
        <is>
          <t>Yes</t>
        </is>
      </c>
      <c r="C17" s="7" t="n"/>
      <c r="D17" s="7" t="n"/>
      <c r="E17" s="7" t="n"/>
      <c r="F17" s="7" t="n"/>
      <c r="G17" s="7" t="n"/>
    </row>
    <row r="18">
      <c r="A18" s="5" t="inlineStr">
        <is>
          <t>Contains Polymer Diffusion Coefficients</t>
        </is>
      </c>
      <c r="B18" s="6" t="inlineStr">
        <is>
          <t>Yes</t>
        </is>
      </c>
      <c r="C18" s="7" t="n"/>
      <c r="D18" s="7" t="n"/>
      <c r="E18" s="7" t="n"/>
      <c r="F18" s="7" t="n"/>
      <c r="G18" s="7" t="n"/>
    </row>
    <row r="19"/>
    <row r="20">
      <c r="A20" s="3" t="inlineStr">
        <is>
          <t>FLORY PARAMETERS (INTERPRETATION)</t>
        </is>
      </c>
      <c r="B20" s="4" t="n"/>
      <c r="C20" s="4" t="n"/>
      <c r="D20" s="4" t="n"/>
      <c r="E20" s="4" t="n"/>
      <c r="F20" s="4" t="n"/>
      <c r="G20" s="4" t="n"/>
    </row>
    <row r="21">
      <c r="A21" s="9" t="inlineStr">
        <is>
          <t>Polymer</t>
        </is>
      </c>
      <c r="B21" s="9" t="inlineStr">
        <is>
          <t>Solvent</t>
        </is>
      </c>
      <c r="C21" s="9" t="inlineStr">
        <is>
          <t>c_value (log Constant)</t>
        </is>
      </c>
      <c r="D21" s="9" t="inlineStr">
        <is>
          <t>v_value (Scaling Exponent)</t>
        </is>
      </c>
      <c r="E21" s="10" t="inlineStr">
        <is>
          <t>Series</t>
        </is>
      </c>
      <c r="F21" s="11" t="n">
        <v>3</v>
      </c>
      <c r="G21" s="11" t="n">
        <v>6</v>
      </c>
    </row>
    <row r="22">
      <c r="A22" s="12" t="inlineStr">
        <is>
          <t>pPEGMEA</t>
        </is>
      </c>
      <c r="B22" s="12" t="inlineStr">
        <is>
          <t>Water</t>
        </is>
      </c>
      <c r="C22" s="13" t="n">
        <v>-8.31</v>
      </c>
      <c r="D22" s="13" t="n">
        <v>0.47</v>
      </c>
      <c r="E22" s="14" t="inlineStr">
        <is>
          <t>pPEGMEA in Water</t>
        </is>
      </c>
      <c r="F22" s="15">
        <f>C22-D22*3</f>
        <v/>
      </c>
      <c r="G22" s="15">
        <f>C22-D22*6</f>
        <v/>
      </c>
    </row>
    <row r="23">
      <c r="A23" s="12" t="inlineStr">
        <is>
          <t>pPEGMEA</t>
        </is>
      </c>
      <c r="B23" s="12" t="inlineStr">
        <is>
          <t>Acetone</t>
        </is>
      </c>
      <c r="C23" s="13" t="n">
        <v>-8.01</v>
      </c>
      <c r="D23" s="13" t="n">
        <v>0.39</v>
      </c>
      <c r="E23" s="14" t="inlineStr">
        <is>
          <t>pPEGMEA in Acetone</t>
        </is>
      </c>
      <c r="F23" s="15">
        <f>C23-D23*3</f>
        <v/>
      </c>
      <c r="G23" s="15">
        <f>C23-D23*6</f>
        <v/>
      </c>
    </row>
    <row r="24">
      <c r="A24" s="12" t="inlineStr">
        <is>
          <t>pPEGMEA</t>
        </is>
      </c>
      <c r="B24" s="12" t="inlineStr">
        <is>
          <t>D x η corrected</t>
        </is>
      </c>
      <c r="C24" s="13" t="n">
        <v>-8.390000000000001</v>
      </c>
      <c r="D24" s="13" t="n">
        <v>0.43</v>
      </c>
      <c r="E24" s="14" t="inlineStr">
        <is>
          <t>pPEGMEA in D x η corrected</t>
        </is>
      </c>
      <c r="F24" s="15">
        <f>C24-D24*3</f>
        <v/>
      </c>
      <c r="G24" s="15">
        <f>C24-D24*6</f>
        <v/>
      </c>
    </row>
    <row r="25"/>
    <row r="26"/>
    <row r="27">
      <c r="A27" s="3" t="inlineStr">
        <is>
          <t>EXTRACTED RAW TABLE DATA</t>
        </is>
      </c>
      <c r="B27" s="4" t="n"/>
      <c r="C27" s="4" t="n"/>
      <c r="D27" s="4" t="n"/>
      <c r="E27" s="4" t="n"/>
      <c r="F27" s="4" t="n"/>
      <c r="G27" s="4" t="n"/>
    </row>
    <row r="28">
      <c r="A28" s="9" t="inlineStr"/>
      <c r="B28" s="9" t="inlineStr">
        <is>
          <t>Sample</t>
        </is>
      </c>
      <c r="C28" s="9" t="inlineStr">
        <is>
          <t>lg( b ′ /m 2 s - 1 )</t>
        </is>
      </c>
      <c r="D28" s="9" t="inlineStr">
        <is>
          <t>v</t>
        </is>
      </c>
    </row>
    <row r="29">
      <c r="A29" s="13" t="n">
        <v>0</v>
      </c>
      <c r="B29" s="12" t="inlineStr">
        <is>
          <t>Water</t>
        </is>
      </c>
      <c r="C29" s="12" t="inlineStr">
        <is>
          <t>- 8.31</t>
        </is>
      </c>
      <c r="D29" s="13" t="n">
        <v>0.47</v>
      </c>
    </row>
    <row r="30">
      <c r="A30" s="13" t="n">
        <v>1</v>
      </c>
      <c r="B30" s="12" t="inlineStr">
        <is>
          <t>Acetone</t>
        </is>
      </c>
      <c r="C30" s="12" t="inlineStr">
        <is>
          <t>- 8.01</t>
        </is>
      </c>
      <c r="D30" s="13" t="n">
        <v>0.39</v>
      </c>
    </row>
    <row r="31">
      <c r="A31" s="13" t="n">
        <v>2</v>
      </c>
      <c r="B31" s="12" t="inlineStr">
        <is>
          <t>D × η corrected</t>
        </is>
      </c>
      <c r="C31" s="12" t="inlineStr">
        <is>
          <t>- 8.39</t>
        </is>
      </c>
      <c r="D31" s="13" t="n">
        <v>0.43</v>
      </c>
    </row>
  </sheetData>
  <mergeCells count="17">
    <mergeCell ref="A13:G13"/>
    <mergeCell ref="B16:G16"/>
    <mergeCell ref="B10:G10"/>
    <mergeCell ref="A1:G2"/>
    <mergeCell ref="B5:G5"/>
    <mergeCell ref="B14:G14"/>
    <mergeCell ref="A27:G27"/>
    <mergeCell ref="B17:G17"/>
    <mergeCell ref="B9:G9"/>
    <mergeCell ref="A4:G4"/>
    <mergeCell ref="B8:G8"/>
    <mergeCell ref="A20:G20"/>
    <mergeCell ref="B18:G18"/>
    <mergeCell ref="B15:G15"/>
    <mergeCell ref="B7:G7"/>
    <mergeCell ref="B11:G11"/>
    <mergeCell ref="B6:G6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6" customWidth="1" min="3" max="3"/>
    <col width="29" customWidth="1" min="4" max="4"/>
    <col width="37" customWidth="1" min="5" max="5"/>
    <col width="32" customWidth="1" min="6" max="6"/>
    <col width="12" customWidth="1" min="7" max="7"/>
    <col width="37" customWidth="1" min="8" max="8"/>
    <col width="12" customWidth="1" min="9" max="9"/>
  </cols>
  <sheetData>
    <row r="1">
      <c r="A1" s="1" t="inlineStr">
        <is>
          <t>test7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/>
    <row r="4">
      <c r="A4" s="3" t="inlineStr">
        <is>
          <t>PAPER METADATA &amp; EXPERIMENTAL CONDITIONS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Authors</t>
        </is>
      </c>
      <c r="B5" s="6" t="inlineStr"/>
      <c r="C5" s="7" t="n"/>
      <c r="D5" s="7" t="n"/>
      <c r="E5" s="7" t="n"/>
      <c r="F5" s="7" t="n"/>
      <c r="G5" s="7" t="n"/>
    </row>
    <row r="6">
      <c r="A6" s="5" t="inlineStr">
        <is>
          <t>DOI</t>
        </is>
      </c>
      <c r="B6" s="6" t="inlineStr"/>
      <c r="C6" s="7" t="n"/>
      <c r="D6" s="7" t="n"/>
      <c r="E6" s="7" t="n"/>
      <c r="F6" s="7" t="n"/>
      <c r="G6" s="7" t="n"/>
    </row>
    <row r="7">
      <c r="A7" s="5" t="inlineStr">
        <is>
          <t>Temperature</t>
        </is>
      </c>
      <c r="B7" s="6" t="inlineStr">
        <is>
          <t>Not applicable</t>
        </is>
      </c>
      <c r="C7" s="7" t="n"/>
      <c r="D7" s="7" t="n"/>
      <c r="E7" s="7" t="n"/>
      <c r="F7" s="7" t="n"/>
      <c r="G7" s="7" t="n"/>
    </row>
    <row r="8">
      <c r="A8" s="5" t="inlineStr">
        <is>
          <t>Pressure</t>
        </is>
      </c>
      <c r="B8" s="6" t="inlineStr">
        <is>
          <t>Not applicable</t>
        </is>
      </c>
      <c r="C8" s="7" t="n"/>
      <c r="D8" s="7" t="n"/>
      <c r="E8" s="7" t="n"/>
      <c r="F8" s="7" t="n"/>
      <c r="G8" s="7" t="n"/>
    </row>
    <row r="9">
      <c r="A9" s="5" t="inlineStr">
        <is>
          <t>Chemicals</t>
        </is>
      </c>
      <c r="B9" s="6" t="inlineStr">
        <is>
          <t>pMMA, pPEGMEA, pMMA-pPEGMEA block copolymer, deuterated acetone, deuterated chloroform</t>
        </is>
      </c>
      <c r="C9" s="7" t="n"/>
      <c r="D9" s="7" t="n"/>
      <c r="E9" s="7" t="n"/>
      <c r="F9" s="7" t="n"/>
      <c r="G9" s="7" t="n"/>
    </row>
    <row r="10" ht="45" customHeight="1">
      <c r="A10" s="5" t="inlineStr">
        <is>
          <t>Description</t>
        </is>
      </c>
      <c r="B10" s="8" t="inlineStr">
        <is>
          <t>MALLS and DOSY molecular weight measurements of pMMA homopolymers and pMMA-pPEGMEA block copolymers.</t>
        </is>
      </c>
      <c r="C10" s="7" t="n"/>
      <c r="D10" s="7" t="n"/>
      <c r="E10" s="7" t="n"/>
      <c r="F10" s="7" t="n"/>
      <c r="G10" s="7" t="n"/>
    </row>
    <row r="11">
      <c r="A11" s="5" t="inlineStr">
        <is>
          <t>Other Stats</t>
        </is>
      </c>
      <c r="B11" s="6" t="inlineStr">
        <is>
          <t>MALLS Mw (g mol-1): 2630 - 135000, DOSYMW (g mol-1) (pMMA calibration): 2740 - 139730, DOSYMW (g mol-1) (pPEGMEA calibration): 1540 - 129610, DOSYMW (g mol-1) (pMMA-pPEGMEA joint calibration): 13810 - 115000</t>
        </is>
      </c>
      <c r="C11" s="7" t="n"/>
      <c r="D11" s="7" t="n"/>
      <c r="E11" s="7" t="n"/>
      <c r="F11" s="7" t="n"/>
      <c r="G11" s="7" t="n"/>
    </row>
    <row r="12"/>
    <row r="13">
      <c r="A13" s="3" t="inlineStr">
        <is>
          <t>TABLE CATEGORISATION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Contains Scientific Data</t>
        </is>
      </c>
      <c r="B14" s="6" t="inlineStr">
        <is>
          <t>Yes</t>
        </is>
      </c>
      <c r="C14" s="7" t="n"/>
      <c r="D14" s="7" t="n"/>
      <c r="E14" s="7" t="n"/>
      <c r="F14" s="7" t="n"/>
      <c r="G14" s="7" t="n"/>
    </row>
    <row r="15">
      <c r="A15" s="5" t="inlineStr">
        <is>
          <t>Contains Raw Diffusion Data</t>
        </is>
      </c>
      <c r="B15" s="6" t="inlineStr">
        <is>
          <t>No</t>
        </is>
      </c>
      <c r="C15" s="7" t="n"/>
      <c r="D15" s="7" t="n"/>
      <c r="E15" s="7" t="n"/>
      <c r="F15" s="7" t="n"/>
      <c r="G15" s="7" t="n"/>
    </row>
    <row r="16">
      <c r="A16" s="5" t="inlineStr">
        <is>
          <t>Contains Mark-Houwink Parameters</t>
        </is>
      </c>
      <c r="B16" s="6" t="inlineStr">
        <is>
          <t>No</t>
        </is>
      </c>
      <c r="C16" s="7" t="n"/>
      <c r="D16" s="7" t="n"/>
      <c r="E16" s="7" t="n"/>
      <c r="F16" s="7" t="n"/>
      <c r="G16" s="7" t="n"/>
    </row>
    <row r="17">
      <c r="A17" s="5" t="inlineStr">
        <is>
          <t>Contains Flory Parameters</t>
        </is>
      </c>
      <c r="B17" s="6" t="inlineStr">
        <is>
          <t>Yes</t>
        </is>
      </c>
      <c r="C17" s="7" t="n"/>
      <c r="D17" s="7" t="n"/>
      <c r="E17" s="7" t="n"/>
      <c r="F17" s="7" t="n"/>
      <c r="G17" s="7" t="n"/>
    </row>
    <row r="18">
      <c r="A18" s="5" t="inlineStr">
        <is>
          <t>Contains Polymer Diffusion Coefficients</t>
        </is>
      </c>
      <c r="B18" s="6" t="inlineStr">
        <is>
          <t>No</t>
        </is>
      </c>
      <c r="C18" s="7" t="n"/>
      <c r="D18" s="7" t="n"/>
      <c r="E18" s="7" t="n"/>
      <c r="F18" s="7" t="n"/>
      <c r="G18" s="7" t="n"/>
    </row>
    <row r="19"/>
    <row r="20">
      <c r="A20" s="3" t="inlineStr">
        <is>
          <t>FLORY PARAMETERS (INTERPRETATION)</t>
        </is>
      </c>
      <c r="B20" s="4" t="n"/>
      <c r="C20" s="4" t="n"/>
      <c r="D20" s="4" t="n"/>
      <c r="E20" s="4" t="n"/>
      <c r="F20" s="4" t="n"/>
      <c r="G20" s="4" t="n"/>
    </row>
    <row r="21">
      <c r="A21" s="9" t="inlineStr">
        <is>
          <t>Polymer</t>
        </is>
      </c>
      <c r="B21" s="9" t="inlineStr">
        <is>
          <t>Solvent</t>
        </is>
      </c>
      <c r="C21" s="9" t="inlineStr">
        <is>
          <t>c_value (log Constant)</t>
        </is>
      </c>
      <c r="D21" s="9" t="inlineStr">
        <is>
          <t>v_value (Scaling Exponent)</t>
        </is>
      </c>
      <c r="E21" s="10" t="inlineStr">
        <is>
          <t>Series</t>
        </is>
      </c>
      <c r="F21" s="11" t="n">
        <v>3</v>
      </c>
      <c r="G21" s="11" t="n">
        <v>6</v>
      </c>
    </row>
    <row r="22">
      <c r="A22" s="12" t="inlineStr">
        <is>
          <t>pMMA-pPEGMEA</t>
        </is>
      </c>
      <c r="B22" s="12" t="inlineStr">
        <is>
          <t>deuterated acetone</t>
        </is>
      </c>
      <c r="C22" s="13" t="n">
        <v>-7.797</v>
      </c>
      <c r="D22" s="13" t="n">
        <v>0.4355</v>
      </c>
      <c r="E22" s="14" t="inlineStr">
        <is>
          <t>pMMA-pPEGMEA in deuterated acetone</t>
        </is>
      </c>
      <c r="F22" s="15">
        <f>C22-D22*3</f>
        <v/>
      </c>
      <c r="G22" s="15">
        <f>C22-D22*6</f>
        <v/>
      </c>
    </row>
    <row r="23"/>
    <row r="24"/>
    <row r="25">
      <c r="A25" s="3" t="inlineStr">
        <is>
          <t>EXTRACTED RAW TABLE DATA</t>
        </is>
      </c>
      <c r="B25" s="4" t="n"/>
      <c r="C25" s="4" t="n"/>
      <c r="D25" s="4" t="n"/>
      <c r="E25" s="4" t="n"/>
      <c r="F25" s="4" t="n"/>
      <c r="G25" s="4" t="n"/>
    </row>
    <row r="26">
      <c r="A26" s="9" t="inlineStr"/>
      <c r="B26" s="9" t="inlineStr">
        <is>
          <t>Sample</t>
        </is>
      </c>
      <c r="C26" s="9" t="inlineStr">
        <is>
          <t>MALLS. M w (g mol - 1 )</t>
        </is>
      </c>
      <c r="D26" s="9" t="inlineStr">
        <is>
          <t>DOSYMW (g mol - 1 ) (pMMA)</t>
        </is>
      </c>
      <c r="E26" s="9" t="inlineStr">
        <is>
          <t>Error (%)</t>
        </is>
      </c>
      <c r="F26" s="9" t="inlineStr">
        <is>
          <t>DOSYMW (g mol - 1 ) (pPEGMEA)</t>
        </is>
      </c>
      <c r="G26" s="9" t="inlineStr">
        <is>
          <t>Error (%)</t>
        </is>
      </c>
      <c r="H26" s="9" t="inlineStr">
        <is>
          <t>DOSYMW (g mol - 1 ) (pMMA-pPEGMEA)</t>
        </is>
      </c>
      <c r="I26" s="9" t="inlineStr">
        <is>
          <t>Error (%)</t>
        </is>
      </c>
    </row>
    <row r="27">
      <c r="A27" s="13" t="n">
        <v>0</v>
      </c>
      <c r="B27" s="12" t="inlineStr">
        <is>
          <t>pMMA25</t>
        </is>
      </c>
      <c r="C27" s="13" t="n">
        <v>2630</v>
      </c>
      <c r="D27" s="13" t="n">
        <v>2740</v>
      </c>
      <c r="E27" s="13" t="n">
        <v>4</v>
      </c>
      <c r="F27" s="13" t="n">
        <v>1540</v>
      </c>
      <c r="G27" s="13" t="n">
        <v>71</v>
      </c>
      <c r="H27" s="13" t="n">
        <v>2160</v>
      </c>
      <c r="I27" s="13" t="n">
        <v>22</v>
      </c>
    </row>
    <row r="28">
      <c r="A28" s="13" t="n">
        <v>1</v>
      </c>
      <c r="B28" s="12" t="inlineStr">
        <is>
          <t>pMMA45</t>
        </is>
      </c>
      <c r="C28" s="13" t="n">
        <v>4910</v>
      </c>
      <c r="D28" s="13" t="n">
        <v>4970</v>
      </c>
      <c r="E28" s="13" t="n">
        <v>1</v>
      </c>
      <c r="F28" s="13" t="n">
        <v>3010</v>
      </c>
      <c r="G28" s="13" t="n">
        <v>63</v>
      </c>
      <c r="H28" s="13" t="n">
        <v>3950</v>
      </c>
      <c r="I28" s="13" t="n">
        <v>24</v>
      </c>
    </row>
    <row r="29">
      <c r="A29" s="13" t="n">
        <v>2</v>
      </c>
      <c r="B29" s="12" t="inlineStr">
        <is>
          <t>pMMA65</t>
        </is>
      </c>
      <c r="C29" s="13" t="n">
        <v>7010</v>
      </c>
      <c r="D29" s="13" t="n">
        <v>7400</v>
      </c>
      <c r="E29" s="13" t="n">
        <v>5</v>
      </c>
      <c r="F29" s="13" t="n">
        <v>4710</v>
      </c>
      <c r="G29" s="13" t="n">
        <v>49</v>
      </c>
      <c r="H29" s="13" t="n">
        <v>5910</v>
      </c>
      <c r="I29" s="13" t="n">
        <v>19</v>
      </c>
    </row>
    <row r="30">
      <c r="A30" s="13" t="n">
        <v>3</v>
      </c>
      <c r="B30" s="12" t="inlineStr">
        <is>
          <t>pMMA25-pPEGMEA25</t>
        </is>
      </c>
      <c r="C30" s="12" t="inlineStr">
        <is>
          <t>10 600</t>
        </is>
      </c>
      <c r="D30" s="12" t="inlineStr">
        <is>
          <t>14 690</t>
        </is>
      </c>
      <c r="E30" s="13" t="n">
        <v>28</v>
      </c>
      <c r="F30" s="12" t="inlineStr">
        <is>
          <t>10 200</t>
        </is>
      </c>
      <c r="G30" s="13" t="n">
        <v>4</v>
      </c>
      <c r="H30" s="12" t="inlineStr">
        <is>
          <t>11 810</t>
        </is>
      </c>
      <c r="I30" s="13" t="n">
        <v>10</v>
      </c>
    </row>
    <row r="31">
      <c r="A31" s="13" t="n">
        <v>4</v>
      </c>
      <c r="B31" s="12" t="inlineStr">
        <is>
          <t>pMMA25-pPEGMEA50</t>
        </is>
      </c>
      <c r="C31" s="12" t="inlineStr">
        <is>
          <t>23 000</t>
        </is>
      </c>
      <c r="D31" s="12" t="inlineStr">
        <is>
          <t>32 600</t>
        </is>
      </c>
      <c r="E31" s="13" t="n">
        <v>29</v>
      </c>
      <c r="F31" s="12" t="inlineStr">
        <is>
          <t>25 100</t>
        </is>
      </c>
      <c r="G31" s="13" t="n">
        <v>8</v>
      </c>
      <c r="H31" s="12" t="inlineStr">
        <is>
          <t>26 430</t>
        </is>
      </c>
      <c r="I31" s="13" t="n">
        <v>13</v>
      </c>
    </row>
    <row r="32">
      <c r="A32" s="13" t="n">
        <v>5</v>
      </c>
      <c r="B32" s="12" t="inlineStr">
        <is>
          <t>pMMA25-pPEGMEA75</t>
        </is>
      </c>
      <c r="C32" s="12" t="inlineStr">
        <is>
          <t>45 400</t>
        </is>
      </c>
      <c r="D32" s="12" t="inlineStr">
        <is>
          <t>56 160</t>
        </is>
      </c>
      <c r="E32" s="13" t="n">
        <v>19</v>
      </c>
      <c r="F32" s="12" t="inlineStr">
        <is>
          <t>46 340</t>
        </is>
      </c>
      <c r="G32" s="13" t="n">
        <v>2</v>
      </c>
      <c r="H32" s="12" t="inlineStr">
        <is>
          <t>45 780</t>
        </is>
      </c>
      <c r="I32" s="13" t="n">
        <v>1</v>
      </c>
    </row>
    <row r="33">
      <c r="A33" s="13" t="n">
        <v>6</v>
      </c>
      <c r="B33" s="12" t="inlineStr">
        <is>
          <t>pMMA45-pPEGMEA25</t>
        </is>
      </c>
      <c r="C33" s="12" t="inlineStr">
        <is>
          <t>18 000</t>
        </is>
      </c>
      <c r="D33" s="12" t="inlineStr">
        <is>
          <t>22 580</t>
        </is>
      </c>
      <c r="E33" s="13" t="n">
        <v>20</v>
      </c>
      <c r="F33" s="12" t="inlineStr">
        <is>
          <t>16 580</t>
        </is>
      </c>
      <c r="G33" s="13" t="n">
        <v>9</v>
      </c>
      <c r="H33" s="12" t="inlineStr">
        <is>
          <t>18 230</t>
        </is>
      </c>
      <c r="I33" s="13" t="n">
        <v>1</v>
      </c>
    </row>
    <row r="34">
      <c r="A34" s="13" t="n">
        <v>7</v>
      </c>
      <c r="B34" s="12" t="inlineStr">
        <is>
          <t>pMMA45-pPEGMEA50</t>
        </is>
      </c>
      <c r="C34" s="12" t="inlineStr">
        <is>
          <t>34 500</t>
        </is>
      </c>
      <c r="D34" s="12" t="inlineStr">
        <is>
          <t>43 860</t>
        </is>
      </c>
      <c r="E34" s="13" t="n">
        <v>21</v>
      </c>
      <c r="F34" s="12" t="inlineStr">
        <is>
          <t>35 070</t>
        </is>
      </c>
      <c r="G34" s="13" t="n">
        <v>2</v>
      </c>
      <c r="H34" s="12" t="inlineStr">
        <is>
          <t>35 670</t>
        </is>
      </c>
      <c r="I34" s="13" t="n">
        <v>3</v>
      </c>
    </row>
    <row r="35">
      <c r="A35" s="13" t="n">
        <v>8</v>
      </c>
      <c r="B35" s="12" t="inlineStr">
        <is>
          <t>pMMA45-pPEGMEA75</t>
        </is>
      </c>
      <c r="C35" s="12" t="inlineStr">
        <is>
          <t>68 400</t>
        </is>
      </c>
      <c r="D35" s="12" t="inlineStr">
        <is>
          <t>78 110</t>
        </is>
      </c>
      <c r="E35" s="13" t="n">
        <v>12</v>
      </c>
      <c r="F35" s="12" t="inlineStr">
        <is>
          <t>67 250</t>
        </is>
      </c>
      <c r="G35" s="13" t="n">
        <v>2</v>
      </c>
      <c r="H35" s="12" t="inlineStr">
        <is>
          <t>63 900</t>
        </is>
      </c>
      <c r="I35" s="13" t="n">
        <v>7</v>
      </c>
    </row>
    <row r="36">
      <c r="A36" s="13" t="n">
        <v>9</v>
      </c>
      <c r="B36" s="12" t="inlineStr">
        <is>
          <t>pMMA65-pPEGMEA25</t>
        </is>
      </c>
      <c r="C36" s="12" t="inlineStr">
        <is>
          <t>31 500</t>
        </is>
      </c>
      <c r="D36" s="12" t="inlineStr">
        <is>
          <t>41 540</t>
        </is>
      </c>
      <c r="E36" s="13" t="n">
        <v>24</v>
      </c>
      <c r="F36" s="12" t="inlineStr">
        <is>
          <t>32 980</t>
        </is>
      </c>
      <c r="G36" s="13" t="n">
        <v>4</v>
      </c>
      <c r="H36" s="12" t="inlineStr">
        <is>
          <t>33 760</t>
        </is>
      </c>
      <c r="I36" s="13" t="n">
        <v>7</v>
      </c>
    </row>
    <row r="37">
      <c r="A37" s="13" t="n">
        <v>10</v>
      </c>
      <c r="B37" s="12" t="inlineStr">
        <is>
          <t>pMMA65-pPEGMEA50</t>
        </is>
      </c>
      <c r="C37" s="12" t="inlineStr">
        <is>
          <t>91 100</t>
        </is>
      </c>
      <c r="D37" s="12" t="inlineStr">
        <is>
          <t>90 450</t>
        </is>
      </c>
      <c r="E37" s="13" t="n">
        <v>1</v>
      </c>
      <c r="F37" s="12" t="inlineStr">
        <is>
          <t>79 350</t>
        </is>
      </c>
      <c r="G37" s="13" t="n">
        <v>15</v>
      </c>
      <c r="H37" s="12" t="inlineStr">
        <is>
          <t>84 100</t>
        </is>
      </c>
      <c r="I37" s="13" t="n">
        <v>8</v>
      </c>
    </row>
    <row r="38">
      <c r="A38" s="13" t="n">
        <v>11</v>
      </c>
      <c r="B38" s="12" t="inlineStr">
        <is>
          <t>pMMA65-pPEGMEA75</t>
        </is>
      </c>
      <c r="C38" s="12" t="inlineStr">
        <is>
          <t>135 000</t>
        </is>
      </c>
      <c r="D38" s="12" t="inlineStr">
        <is>
          <t>139 730</t>
        </is>
      </c>
      <c r="E38" s="13" t="n">
        <v>3</v>
      </c>
      <c r="F38" s="12" t="inlineStr">
        <is>
          <t>129 610</t>
        </is>
      </c>
      <c r="G38" s="13" t="n">
        <v>4</v>
      </c>
      <c r="H38" s="12" t="inlineStr">
        <is>
          <t>115 000</t>
        </is>
      </c>
      <c r="I38" s="13" t="n">
        <v>18</v>
      </c>
    </row>
  </sheetData>
  <mergeCells count="17">
    <mergeCell ref="A13:G13"/>
    <mergeCell ref="B16:G16"/>
    <mergeCell ref="B10:G10"/>
    <mergeCell ref="A1:G2"/>
    <mergeCell ref="B5:G5"/>
    <mergeCell ref="B14:G14"/>
    <mergeCell ref="B17:G17"/>
    <mergeCell ref="B9:G9"/>
    <mergeCell ref="A4:G4"/>
    <mergeCell ref="B8:G8"/>
    <mergeCell ref="A20:G20"/>
    <mergeCell ref="B18:G18"/>
    <mergeCell ref="A25:G25"/>
    <mergeCell ref="B15:G15"/>
    <mergeCell ref="B7:G7"/>
    <mergeCell ref="B11:G11"/>
    <mergeCell ref="B6:G6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4" customWidth="1" min="3" max="3"/>
    <col width="29" customWidth="1" min="4" max="4"/>
    <col width="12" customWidth="1" min="5" max="5"/>
    <col width="33" customWidth="1" min="6" max="6"/>
    <col width="12" customWidth="1" min="7" max="7"/>
    <col width="37" customWidth="1" min="8" max="8"/>
    <col width="12" customWidth="1" min="9" max="9"/>
  </cols>
  <sheetData>
    <row r="1">
      <c r="A1" s="1" t="inlineStr">
        <is>
          <t>test7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/>
    <row r="4">
      <c r="A4" s="3" t="inlineStr">
        <is>
          <t>PAPER METADATA &amp; EXPERIMENTAL CONDITIONS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Authors</t>
        </is>
      </c>
      <c r="B5" s="6" t="inlineStr"/>
      <c r="C5" s="7" t="n"/>
      <c r="D5" s="7" t="n"/>
      <c r="E5" s="7" t="n"/>
      <c r="F5" s="7" t="n"/>
      <c r="G5" s="7" t="n"/>
    </row>
    <row r="6">
      <c r="A6" s="5" t="inlineStr">
        <is>
          <t>DOI</t>
        </is>
      </c>
      <c r="B6" s="6" t="inlineStr"/>
      <c r="C6" s="7" t="n"/>
      <c r="D6" s="7" t="n"/>
      <c r="E6" s="7" t="n"/>
      <c r="F6" s="7" t="n"/>
      <c r="G6" s="7" t="n"/>
    </row>
    <row r="7">
      <c r="A7" s="5" t="inlineStr">
        <is>
          <t>Temperature</t>
        </is>
      </c>
      <c r="B7" s="6" t="inlineStr">
        <is>
          <t>Not applicable</t>
        </is>
      </c>
      <c r="C7" s="7" t="n"/>
      <c r="D7" s="7" t="n"/>
      <c r="E7" s="7" t="n"/>
      <c r="F7" s="7" t="n"/>
      <c r="G7" s="7" t="n"/>
    </row>
    <row r="8">
      <c r="A8" s="5" t="inlineStr">
        <is>
          <t>Pressure</t>
        </is>
      </c>
      <c r="B8" s="6" t="inlineStr">
        <is>
          <t>Not applicable</t>
        </is>
      </c>
      <c r="C8" s="7" t="n"/>
      <c r="D8" s="7" t="n"/>
      <c r="E8" s="7" t="n"/>
      <c r="F8" s="7" t="n"/>
      <c r="G8" s="7" t="n"/>
    </row>
    <row r="9">
      <c r="A9" s="5" t="inlineStr">
        <is>
          <t>Chemicals</t>
        </is>
      </c>
      <c r="B9" s="6" t="inlineStr">
        <is>
          <t>pBA, pBA-pPEGMEA block copolymer, deuterated acetone</t>
        </is>
      </c>
      <c r="C9" s="7" t="n"/>
      <c r="D9" s="7" t="n"/>
      <c r="E9" s="7" t="n"/>
      <c r="F9" s="7" t="n"/>
      <c r="G9" s="7" t="n"/>
    </row>
    <row r="10" ht="45" customHeight="1">
      <c r="A10" s="5" t="inlineStr">
        <is>
          <t>Description</t>
        </is>
      </c>
      <c r="B10" s="8" t="inlineStr">
        <is>
          <t>Comparison of molecular weight measurements using MALLS and DOSY (using different calibrations: pBA homopolymer, pPEGMEA homopolymer, and a mixed calibration) for pBA-pPEGMEA block copolymers and their corresponding pBA homopolymers.</t>
        </is>
      </c>
      <c r="C10" s="7" t="n"/>
      <c r="D10" s="7" t="n"/>
      <c r="E10" s="7" t="n"/>
      <c r="F10" s="7" t="n"/>
      <c r="G10" s="7" t="n"/>
    </row>
    <row r="11">
      <c r="A11" s="5" t="inlineStr">
        <is>
          <t>Other Stats</t>
        </is>
      </c>
      <c r="B11" s="6" t="inlineStr">
        <is>
          <t>MALLS Mw: g mol -1, DOSY MW (pBA calibration): g mol -1, DOSY MW (pPEGMEA calibration): value in g mol -1, DOSY Mw (mixed calibration): value in g mol -1</t>
        </is>
      </c>
      <c r="C11" s="7" t="n"/>
      <c r="D11" s="7" t="n"/>
      <c r="E11" s="7" t="n"/>
      <c r="F11" s="7" t="n"/>
      <c r="G11" s="7" t="n"/>
    </row>
    <row r="12"/>
    <row r="13">
      <c r="A13" s="3" t="inlineStr">
        <is>
          <t>TABLE CATEGORISATION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Contains Scientific Data</t>
        </is>
      </c>
      <c r="B14" s="6" t="inlineStr">
        <is>
          <t>Yes</t>
        </is>
      </c>
      <c r="C14" s="7" t="n"/>
      <c r="D14" s="7" t="n"/>
      <c r="E14" s="7" t="n"/>
      <c r="F14" s="7" t="n"/>
      <c r="G14" s="7" t="n"/>
    </row>
    <row r="15">
      <c r="A15" s="5" t="inlineStr">
        <is>
          <t>Contains Raw Diffusion Data</t>
        </is>
      </c>
      <c r="B15" s="6" t="inlineStr">
        <is>
          <t>No</t>
        </is>
      </c>
      <c r="C15" s="7" t="n"/>
      <c r="D15" s="7" t="n"/>
      <c r="E15" s="7" t="n"/>
      <c r="F15" s="7" t="n"/>
      <c r="G15" s="7" t="n"/>
    </row>
    <row r="16">
      <c r="A16" s="5" t="inlineStr">
        <is>
          <t>Contains Mark-Houwink Parameters</t>
        </is>
      </c>
      <c r="B16" s="6" t="inlineStr">
        <is>
          <t>No</t>
        </is>
      </c>
      <c r="C16" s="7" t="n"/>
      <c r="D16" s="7" t="n"/>
      <c r="E16" s="7" t="n"/>
      <c r="F16" s="7" t="n"/>
      <c r="G16" s="7" t="n"/>
    </row>
    <row r="17">
      <c r="A17" s="5" t="inlineStr">
        <is>
          <t>Contains Flory Parameters</t>
        </is>
      </c>
      <c r="B17" s="6" t="inlineStr">
        <is>
          <t>No</t>
        </is>
      </c>
      <c r="C17" s="7" t="n"/>
      <c r="D17" s="7" t="n"/>
      <c r="E17" s="7" t="n"/>
      <c r="F17" s="7" t="n"/>
      <c r="G17" s="7" t="n"/>
    </row>
    <row r="18">
      <c r="A18" s="5" t="inlineStr">
        <is>
          <t>Contains Polymer Diffusion Coefficients</t>
        </is>
      </c>
      <c r="B18" s="6" t="inlineStr">
        <is>
          <t>No</t>
        </is>
      </c>
      <c r="C18" s="7" t="n"/>
      <c r="D18" s="7" t="n"/>
      <c r="E18" s="7" t="n"/>
      <c r="F18" s="7" t="n"/>
      <c r="G18" s="7" t="n"/>
    </row>
    <row r="19"/>
    <row r="20">
      <c r="A20" s="3" t="inlineStr">
        <is>
          <t>EXTRACTED RAW TABLE DATA</t>
        </is>
      </c>
      <c r="B20" s="4" t="n"/>
      <c r="C20" s="4" t="n"/>
      <c r="D20" s="4" t="n"/>
      <c r="E20" s="4" t="n"/>
      <c r="F20" s="4" t="n"/>
      <c r="G20" s="4" t="n"/>
    </row>
    <row r="21">
      <c r="A21" s="9" t="inlineStr"/>
      <c r="B21" s="9" t="inlineStr">
        <is>
          <t>Sample</t>
        </is>
      </c>
      <c r="C21" s="9" t="inlineStr">
        <is>
          <t>MALLSM w (g mol - 1 )</t>
        </is>
      </c>
      <c r="D21" s="9" t="inlineStr">
        <is>
          <t>DOSY MW (g mol - 1 ) (pBA)</t>
        </is>
      </c>
      <c r="E21" s="9" t="inlineStr">
        <is>
          <t>Error (%)</t>
        </is>
      </c>
      <c r="F21" s="9" t="inlineStr">
        <is>
          <t>DOSY MW (g mol - 1 ) (pPEGMEA)</t>
        </is>
      </c>
      <c r="G21" s="9" t="inlineStr">
        <is>
          <t>Error (%)</t>
        </is>
      </c>
      <c r="H21" s="9" t="inlineStr">
        <is>
          <t>DOSY Mw (g mol - 1 ) (pBA-pPEGMEA)</t>
        </is>
      </c>
      <c r="I21" s="9" t="inlineStr">
        <is>
          <t>Error (%)</t>
        </is>
      </c>
    </row>
    <row r="22">
      <c r="A22" s="13" t="n">
        <v>0</v>
      </c>
      <c r="B22" s="12" t="inlineStr">
        <is>
          <t>pBA60</t>
        </is>
      </c>
      <c r="C22" s="13" t="n">
        <v>5400</v>
      </c>
      <c r="D22" s="13" t="n">
        <v>5410</v>
      </c>
      <c r="E22" s="13" t="n">
        <v>1</v>
      </c>
      <c r="F22" s="13" t="n">
        <v>4020</v>
      </c>
      <c r="G22" s="13" t="n">
        <v>34</v>
      </c>
      <c r="H22" s="13" t="n">
        <v>4930</v>
      </c>
      <c r="I22" s="13" t="n">
        <v>19</v>
      </c>
    </row>
    <row r="23">
      <c r="A23" s="13" t="n">
        <v>1</v>
      </c>
      <c r="B23" s="12" t="inlineStr">
        <is>
          <t>pBA80</t>
        </is>
      </c>
      <c r="C23" s="13" t="n">
        <v>7400</v>
      </c>
      <c r="D23" s="13" t="n">
        <v>7370</v>
      </c>
      <c r="E23" s="13" t="n">
        <v>1</v>
      </c>
      <c r="F23" s="13" t="n">
        <v>5930</v>
      </c>
      <c r="G23" s="13" t="n">
        <v>25</v>
      </c>
      <c r="H23" s="13" t="n">
        <v>6900</v>
      </c>
      <c r="I23" s="13" t="n">
        <v>14</v>
      </c>
    </row>
    <row r="24">
      <c r="A24" s="13" t="n">
        <v>2</v>
      </c>
      <c r="B24" s="12" t="inlineStr">
        <is>
          <t>pBA100</t>
        </is>
      </c>
      <c r="C24" s="12" t="inlineStr">
        <is>
          <t>11 800</t>
        </is>
      </c>
      <c r="D24" s="12" t="inlineStr">
        <is>
          <t>11 820</t>
        </is>
      </c>
      <c r="E24" s="13" t="n">
        <v>1</v>
      </c>
      <c r="F24" s="12" t="inlineStr">
        <is>
          <t>10 770</t>
        </is>
      </c>
      <c r="G24" s="13" t="n">
        <v>10</v>
      </c>
      <c r="H24" s="12" t="inlineStr">
        <is>
          <t>11 550</t>
        </is>
      </c>
      <c r="I24" s="13" t="n">
        <v>7</v>
      </c>
    </row>
    <row r="25">
      <c r="A25" s="13" t="n">
        <v>3</v>
      </c>
      <c r="B25" s="12" t="inlineStr">
        <is>
          <t>pBA60-pPEGMEA25</t>
        </is>
      </c>
      <c r="C25" s="12" t="inlineStr">
        <is>
          <t>13 600</t>
        </is>
      </c>
      <c r="D25" s="12" t="inlineStr">
        <is>
          <t>14 190</t>
        </is>
      </c>
      <c r="E25" s="13" t="n">
        <v>4</v>
      </c>
      <c r="F25" s="12" t="inlineStr">
        <is>
          <t>13 560</t>
        </is>
      </c>
      <c r="G25" s="13" t="n">
        <v>1</v>
      </c>
      <c r="H25" s="12" t="inlineStr">
        <is>
          <t>14 100</t>
        </is>
      </c>
      <c r="I25" s="13" t="n">
        <v>4</v>
      </c>
    </row>
    <row r="26">
      <c r="A26" s="13" t="n">
        <v>4</v>
      </c>
      <c r="B26" s="12" t="inlineStr">
        <is>
          <t>pBA60-pPEGMEA50</t>
        </is>
      </c>
      <c r="C26" s="12" t="inlineStr">
        <is>
          <t>22 700</t>
        </is>
      </c>
      <c r="D26" s="12" t="inlineStr">
        <is>
          <t>22 900</t>
        </is>
      </c>
      <c r="E26" s="13" t="n">
        <v>1</v>
      </c>
      <c r="F26" s="12" t="inlineStr">
        <is>
          <t>24 820</t>
        </is>
      </c>
      <c r="G26" s="13" t="n">
        <v>9</v>
      </c>
      <c r="H26" s="12" t="inlineStr">
        <is>
          <t>23 760</t>
        </is>
      </c>
      <c r="I26" s="13" t="n">
        <v>4</v>
      </c>
    </row>
    <row r="27">
      <c r="A27" s="13" t="n">
        <v>5</v>
      </c>
      <c r="B27" s="12" t="inlineStr">
        <is>
          <t>pBA60-pPEGMEA75</t>
        </is>
      </c>
      <c r="C27" s="12" t="inlineStr">
        <is>
          <t>30 900</t>
        </is>
      </c>
      <c r="D27" s="12" t="inlineStr">
        <is>
          <t>29 660</t>
        </is>
      </c>
      <c r="E27" s="13" t="n">
        <v>4</v>
      </c>
      <c r="F27" s="12" t="inlineStr">
        <is>
          <t>34 410</t>
        </is>
      </c>
      <c r="G27" s="13" t="n">
        <v>10</v>
      </c>
      <c r="H27" s="12" t="inlineStr">
        <is>
          <t>31 500</t>
        </is>
      </c>
      <c r="I27" s="13" t="n">
        <v>9</v>
      </c>
    </row>
    <row r="28">
      <c r="A28" s="13" t="n">
        <v>6</v>
      </c>
      <c r="B28" s="12" t="inlineStr">
        <is>
          <t>pBA80-pPEGMEA25</t>
        </is>
      </c>
      <c r="C28" s="12" t="inlineStr">
        <is>
          <t>14 700</t>
        </is>
      </c>
      <c r="D28" s="12" t="inlineStr">
        <is>
          <t>14 310</t>
        </is>
      </c>
      <c r="E28" s="13" t="n">
        <v>3</v>
      </c>
      <c r="F28" s="12" t="inlineStr">
        <is>
          <t>13 700</t>
        </is>
      </c>
      <c r="G28" s="13" t="n">
        <v>7</v>
      </c>
      <c r="H28" s="12" t="inlineStr">
        <is>
          <t>14 230</t>
        </is>
      </c>
      <c r="I28" s="13" t="n">
        <v>4</v>
      </c>
    </row>
    <row r="29">
      <c r="A29" s="13" t="n">
        <v>7</v>
      </c>
      <c r="B29" s="12" t="inlineStr">
        <is>
          <t>pBA80-pPEGMEA50</t>
        </is>
      </c>
      <c r="C29" s="12" t="inlineStr">
        <is>
          <t>24 300</t>
        </is>
      </c>
      <c r="D29" s="12" t="inlineStr">
        <is>
          <t>21 230</t>
        </is>
      </c>
      <c r="E29" s="13" t="n">
        <v>15</v>
      </c>
      <c r="F29" s="12" t="inlineStr">
        <is>
          <t>22 560</t>
        </is>
      </c>
      <c r="G29" s="13" t="n">
        <v>8</v>
      </c>
      <c r="H29" s="12" t="inlineStr">
        <is>
          <t>21 890</t>
        </is>
      </c>
      <c r="I29" s="13" t="n">
        <v>3</v>
      </c>
    </row>
    <row r="30">
      <c r="A30" s="13" t="n">
        <v>8</v>
      </c>
      <c r="B30" s="12" t="inlineStr">
        <is>
          <t>pBA80-pPEGMEA75</t>
        </is>
      </c>
      <c r="C30" s="12" t="inlineStr">
        <is>
          <t>33 400</t>
        </is>
      </c>
      <c r="D30" s="12" t="inlineStr">
        <is>
          <t>25 960</t>
        </is>
      </c>
      <c r="E30" s="13" t="n">
        <v>29</v>
      </c>
      <c r="F30" s="12" t="inlineStr">
        <is>
          <t>29 070</t>
        </is>
      </c>
      <c r="G30" s="13" t="n">
        <v>15</v>
      </c>
      <c r="H30" s="12" t="inlineStr">
        <is>
          <t>27 240</t>
        </is>
      </c>
      <c r="I30" s="13" t="n">
        <v>7</v>
      </c>
    </row>
    <row r="31">
      <c r="A31" s="13" t="n">
        <v>9</v>
      </c>
      <c r="B31" s="12" t="inlineStr">
        <is>
          <t>pBA100-pPEGMEA25</t>
        </is>
      </c>
      <c r="C31" s="12" t="inlineStr">
        <is>
          <t>15 100</t>
        </is>
      </c>
      <c r="D31" s="12" t="inlineStr">
        <is>
          <t>14 070</t>
        </is>
      </c>
      <c r="E31" s="13" t="n">
        <v>7</v>
      </c>
      <c r="F31" s="12" t="inlineStr">
        <is>
          <t>13 410</t>
        </is>
      </c>
      <c r="G31" s="13" t="n">
        <v>13</v>
      </c>
      <c r="H31" s="12" t="inlineStr">
        <is>
          <t>13 960</t>
        </is>
      </c>
      <c r="I31" s="13" t="n">
        <v>4</v>
      </c>
    </row>
    <row r="32">
      <c r="A32" s="13" t="n">
        <v>10</v>
      </c>
      <c r="B32" s="12" t="inlineStr">
        <is>
          <t>pBA100-pPEGMEA50</t>
        </is>
      </c>
      <c r="C32" s="12" t="inlineStr">
        <is>
          <t>25 400</t>
        </is>
      </c>
      <c r="D32" s="12" t="inlineStr">
        <is>
          <t>22 410</t>
        </is>
      </c>
      <c r="E32" s="13" t="n">
        <v>13</v>
      </c>
      <c r="F32" s="12" t="inlineStr">
        <is>
          <t>24 150</t>
        </is>
      </c>
      <c r="G32" s="13" t="n">
        <v>5</v>
      </c>
      <c r="H32" s="12" t="inlineStr">
        <is>
          <t>23 200</t>
        </is>
      </c>
      <c r="I32" s="13" t="n">
        <v>4</v>
      </c>
    </row>
    <row r="33">
      <c r="A33" s="13" t="n">
        <v>11</v>
      </c>
      <c r="B33" s="12" t="inlineStr">
        <is>
          <t>pBA100-pPEGMEA75</t>
        </is>
      </c>
      <c r="C33" s="12" t="inlineStr">
        <is>
          <t>35 500</t>
        </is>
      </c>
      <c r="D33" s="12" t="inlineStr">
        <is>
          <t>27 890</t>
        </is>
      </c>
      <c r="E33" s="13" t="n">
        <v>27</v>
      </c>
      <c r="F33" s="12" t="inlineStr">
        <is>
          <t>31 830</t>
        </is>
      </c>
      <c r="G33" s="13" t="n">
        <v>12</v>
      </c>
      <c r="H33" s="12" t="inlineStr">
        <is>
          <t>29 450</t>
        </is>
      </c>
      <c r="I33" s="13" t="n">
        <v>8</v>
      </c>
    </row>
  </sheetData>
  <mergeCells count="16">
    <mergeCell ref="A13:G13"/>
    <mergeCell ref="B16:G16"/>
    <mergeCell ref="B10:G10"/>
    <mergeCell ref="A1:G2"/>
    <mergeCell ref="B5:G5"/>
    <mergeCell ref="B14:G14"/>
    <mergeCell ref="B17:G17"/>
    <mergeCell ref="B9:G9"/>
    <mergeCell ref="A4:G4"/>
    <mergeCell ref="B8:G8"/>
    <mergeCell ref="A20:G20"/>
    <mergeCell ref="B18:G18"/>
    <mergeCell ref="B15:G15"/>
    <mergeCell ref="B7:G7"/>
    <mergeCell ref="B11:G11"/>
    <mergeCell ref="B6:G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2026-07-14T14:08:24Z</dcterms:created>
  <dcterms:modified xmlns:dcterms="http://purl.org/dc/terms/" xmlns:xsi="http://www.w3.org/2001/XMLSchema-instance" xsi:type="dcterms:W3CDTF">2026-07-14T14:08:24Z</dcterms:modified>
</cp:coreProperties>
</file>