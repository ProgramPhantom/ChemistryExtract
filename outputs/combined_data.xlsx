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enry\Github\ChemistryExtract\outputs\"/>
    </mc:Choice>
  </mc:AlternateContent>
  <xr:revisionPtr revIDLastSave="0" documentId="13_ncr:1_{ABB84D78-A2D1-4C0D-BF1C-3B6D41B6481E}" xr6:coauthVersionLast="47" xr6:coauthVersionMax="47" xr10:uidLastSave="{00000000-0000-0000-0000-000000000000}"/>
  <bookViews>
    <workbookView xWindow="-120" yWindow="-16320" windowWidth="29040" windowHeight="15720" activeTab="5" xr2:uid="{00000000-000D-0000-FFFF-FFFF00000000}"/>
  </bookViews>
  <sheets>
    <sheet name="Summary" sheetId="1" r:id="rId1"/>
    <sheet name="Papers" sheetId="2" r:id="rId2"/>
    <sheet name="Polymers" sheetId="3" r:id="rId3"/>
    <sheet name="Flory" sheetId="4" r:id="rId4"/>
    <sheet name="Mark-Houwink" sheetId="5" r:id="rId5"/>
    <sheet name="Failure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" i="4" l="1"/>
  <c r="M44" i="4"/>
  <c r="N43" i="4"/>
  <c r="M43" i="4"/>
  <c r="N41" i="4"/>
  <c r="M41" i="4"/>
  <c r="N40" i="4"/>
  <c r="M40" i="4"/>
  <c r="N39" i="4"/>
  <c r="M39" i="4"/>
  <c r="N37" i="4"/>
  <c r="M37" i="4"/>
  <c r="N36" i="4"/>
  <c r="M36" i="4"/>
  <c r="N35" i="4"/>
  <c r="M35" i="4"/>
  <c r="N34" i="4"/>
  <c r="M34" i="4"/>
  <c r="N33" i="4"/>
  <c r="M33" i="4"/>
  <c r="N32" i="4"/>
  <c r="M32" i="4"/>
  <c r="N31" i="4"/>
  <c r="M31" i="4"/>
  <c r="N30" i="4"/>
  <c r="M30" i="4"/>
  <c r="N29" i="4"/>
  <c r="M29" i="4"/>
  <c r="N28" i="4"/>
  <c r="M28" i="4"/>
  <c r="N27" i="4"/>
  <c r="M27" i="4"/>
  <c r="N26" i="4"/>
  <c r="M26" i="4"/>
  <c r="N25" i="4"/>
  <c r="M25" i="4"/>
  <c r="N24" i="4"/>
  <c r="M24" i="4"/>
  <c r="N23" i="4"/>
  <c r="M23" i="4"/>
  <c r="N21" i="4"/>
  <c r="M21" i="4"/>
  <c r="N20" i="4"/>
  <c r="M20" i="4"/>
  <c r="N19" i="4"/>
  <c r="M19" i="4"/>
  <c r="N17" i="4"/>
  <c r="M17" i="4"/>
  <c r="N14" i="4"/>
  <c r="M14" i="4"/>
  <c r="N13" i="4"/>
  <c r="M13" i="4"/>
  <c r="N11" i="4"/>
  <c r="M11" i="4"/>
  <c r="N10" i="4"/>
  <c r="M10" i="4"/>
  <c r="N8" i="4"/>
  <c r="M8" i="4"/>
  <c r="N7" i="4"/>
  <c r="M7" i="4"/>
  <c r="N6" i="4"/>
  <c r="M6" i="4"/>
  <c r="N5" i="4"/>
  <c r="M5" i="4"/>
  <c r="N4" i="4"/>
  <c r="M4" i="4"/>
</calcChain>
</file>

<file path=xl/sharedStrings.xml><?xml version="1.0" encoding="utf-8"?>
<sst xmlns="http://schemas.openxmlformats.org/spreadsheetml/2006/main" count="888" uniqueCount="107">
  <si>
    <t>Extraction &amp; Homogenisation Statistics</t>
  </si>
  <si>
    <t>Metric</t>
  </si>
  <si>
    <t>Value</t>
  </si>
  <si>
    <t>Total Data Points Collected</t>
  </si>
  <si>
    <t>Flory Data Points</t>
  </si>
  <si>
    <t>Mark-Houwink Data Points</t>
  </si>
  <si>
    <t>Total Failures / Issues</t>
  </si>
  <si>
    <t>Success Rate (%)</t>
  </si>
  <si>
    <t>47.7%</t>
  </si>
  <si>
    <t>Failure Reasons Breakdown</t>
  </si>
  <si>
    <t>Failure Reason / Field</t>
  </si>
  <si>
    <t>Count</t>
  </si>
  <si>
    <t>AI marked as N/A</t>
  </si>
  <si>
    <t>solvent</t>
  </si>
  <si>
    <t>polymer_name</t>
  </si>
  <si>
    <t>polymer_name, solvent</t>
  </si>
  <si>
    <t>Source Paper</t>
  </si>
  <si>
    <t>Paper Title</t>
  </si>
  <si>
    <t>Total Tables</t>
  </si>
  <si>
    <t>Selected Tables</t>
  </si>
  <si>
    <t>Failed Data Points</t>
  </si>
  <si>
    <t>2009 - NMR Measure of Translational Diffusion and Fractal Dimension. Application to Molecular Mass Measurement</t>
  </si>
  <si>
    <t>N/A</t>
  </si>
  <si>
    <t>2016 - 1 H DOSY NMR Determination of the Molecular Weight and the Solution Properties of Poly-( N -acryloylmorpholine) in Various Solvents</t>
  </si>
  <si>
    <t>2019 - Quantitative Studies of Block Copolymers and Their Containing Homopolymer Components by Diffusion Ordered Spectroscopy</t>
  </si>
  <si>
    <t>2023 - A fast and efficient way of obtaining the average molecular weight of block copolymers via DOSY</t>
  </si>
  <si>
    <t>Polymer (Clean)</t>
  </si>
  <si>
    <t>Solvent (Clean)</t>
  </si>
  <si>
    <t>c Value (log Constant)</t>
  </si>
  <si>
    <t>c Transformation</t>
  </si>
  <si>
    <t>v Value (Scaling Exponent)</t>
  </si>
  <si>
    <t>v Transformation</t>
  </si>
  <si>
    <t>Temperature (K)</t>
  </si>
  <si>
    <t>Table</t>
  </si>
  <si>
    <t>Failed Field</t>
  </si>
  <si>
    <t>denatured peptide</t>
  </si>
  <si>
    <t>not specified</t>
  </si>
  <si>
    <t>constant_not_found</t>
  </si>
  <si>
    <t>none</t>
  </si>
  <si>
    <t>table2</t>
  </si>
  <si>
    <t>deoxyribonucleic acid</t>
  </si>
  <si>
    <t>globular proteins</t>
  </si>
  <si>
    <t>linear alkanes</t>
  </si>
  <si>
    <t>oligosaccharides</t>
  </si>
  <si>
    <t>poly(butyl acrylate)</t>
  </si>
  <si>
    <t>acetone</t>
  </si>
  <si>
    <t>table3</t>
  </si>
  <si>
    <t>None</t>
  </si>
  <si>
    <t>benzene</t>
  </si>
  <si>
    <t>chloroform</t>
  </si>
  <si>
    <t>solvent corrected</t>
  </si>
  <si>
    <t>poly(ethylene glycol) methyl ether acrylate</t>
  </si>
  <si>
    <t>table6</t>
  </si>
  <si>
    <t>D x η corrected</t>
  </si>
  <si>
    <t>water</t>
  </si>
  <si>
    <t>poly(ethylene oxide)</t>
  </si>
  <si>
    <t>deuterated chloroform</t>
  </si>
  <si>
    <t>deuterium oxide</t>
  </si>
  <si>
    <t>poly(methyl methacrylate)</t>
  </si>
  <si>
    <t>table1</t>
  </si>
  <si>
    <t>benzene-d6</t>
  </si>
  <si>
    <t>log10(a)</t>
  </si>
  <si>
    <t>abs(b)</t>
  </si>
  <si>
    <t>tetrahydrofuran</t>
  </si>
  <si>
    <t>toluene</t>
  </si>
  <si>
    <t>poly(N-acryloylmorpholine)</t>
  </si>
  <si>
    <t>calculated from equation Mw = A * D^b</t>
  </si>
  <si>
    <t>deuterium oxide / methanol-d4 (80/20)</t>
  </si>
  <si>
    <t>phosphate buffered saline</t>
  </si>
  <si>
    <t>calculated from equation Mw = 1.754 * 10^8 D^-2.223</t>
  </si>
  <si>
    <t>poly(styrene)</t>
  </si>
  <si>
    <t>polyimide</t>
  </si>
  <si>
    <t>small molecules</t>
  </si>
  <si>
    <t>Polymer (Original)</t>
  </si>
  <si>
    <t>Solvent (Original)</t>
  </si>
  <si>
    <t>Solvent</t>
  </si>
  <si>
    <t>Polymer</t>
  </si>
  <si>
    <t>PS</t>
  </si>
  <si>
    <t>PMMA</t>
  </si>
  <si>
    <t>CDCl3</t>
  </si>
  <si>
    <t>THF</t>
  </si>
  <si>
    <t>PEO</t>
  </si>
  <si>
    <t>D2O</t>
  </si>
  <si>
    <t>DNA</t>
  </si>
  <si>
    <t>Linear alcanes</t>
  </si>
  <si>
    <t>poly-( N -acryloylmorpholine)</t>
  </si>
  <si>
    <t>D 2 O</t>
  </si>
  <si>
    <t>CDCl 3</t>
  </si>
  <si>
    <t>PBS, pH7.4</t>
  </si>
  <si>
    <t>D 2 O/MeOD80/20</t>
  </si>
  <si>
    <t>deuterated benzene</t>
  </si>
  <si>
    <t>PI</t>
  </si>
  <si>
    <t>pMMA</t>
  </si>
  <si>
    <t>Toluene</t>
  </si>
  <si>
    <t>Benzene</t>
  </si>
  <si>
    <t>Acetone</t>
  </si>
  <si>
    <t>كs poly(butyl acrylate)</t>
  </si>
  <si>
    <t>Chloroform</t>
  </si>
  <si>
    <t>pPEGMEA</t>
  </si>
  <si>
    <t>Water</t>
  </si>
  <si>
    <t>K Value (mL/g)</t>
  </si>
  <si>
    <t>K Transformation</t>
  </si>
  <si>
    <t>a Value</t>
  </si>
  <si>
    <t>a Transformation</t>
  </si>
  <si>
    <t>Field Name</t>
  </si>
  <si>
    <t>Raw Value</t>
  </si>
  <si>
    <t>Failure Reason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</si>
</sst>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1F497D"/>
      <name val="Segoe UI"/>
    </font>
    <font>
      <b/>
      <sz val="10"/>
      <color rgb="FFFFFFFF"/>
      <name val="Segoe UI"/>
    </font>
    <font>
      <sz val="10"/>
      <color rgb="FF000000"/>
      <name val="Segoe UI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FCE4D6"/>
        <bgColor rgb="FFFCE4D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right" vertical="center"/>
    </xf>
    <xf numFmtId="0" fontId="0" fillId="3" borderId="1" xfId="0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GB"/>
              <a:t>Flory Calibration Curves (log-log Plot)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poly(styrene) in toluene</c:v>
          </c:tx>
          <c:spPr>
            <a:ln>
              <a:solidFill>
                <a:srgbClr val="1F497D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Flory!$M$4:$N$4</c:f>
              <c:numCache>
                <c:formatCode>General</c:formatCode>
                <c:ptCount val="2"/>
                <c:pt idx="0">
                  <c:v>-8.93</c:v>
                </c:pt>
                <c:pt idx="1">
                  <c:v>-10.16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74-4DF7-A95C-B9C8249168C8}"/>
            </c:ext>
          </c:extLst>
        </c:ser>
        <c:ser>
          <c:idx val="1"/>
          <c:order val="1"/>
          <c:tx>
            <c:v>poly(methyl methacrylate) in acetone</c:v>
          </c:tx>
          <c:spPr>
            <a:ln>
              <a:solidFill>
                <a:srgbClr val="C0504D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Flory!$M$5:$N$5</c:f>
              <c:numCache>
                <c:formatCode>General</c:formatCode>
                <c:ptCount val="2"/>
                <c:pt idx="0">
                  <c:v>-9.08</c:v>
                </c:pt>
                <c:pt idx="1">
                  <c:v>-10.46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74-4DF7-A95C-B9C8249168C8}"/>
            </c:ext>
          </c:extLst>
        </c:ser>
        <c:ser>
          <c:idx val="2"/>
          <c:order val="2"/>
          <c:tx>
            <c:v>poly(styrene) in acetone</c:v>
          </c:tx>
          <c:spPr>
            <a:ln>
              <a:solidFill>
                <a:srgbClr val="9BBB59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Flory!$M$6:$N$6</c:f>
              <c:numCache>
                <c:formatCode>General</c:formatCode>
                <c:ptCount val="2"/>
                <c:pt idx="0">
                  <c:v>-21.8</c:v>
                </c:pt>
                <c:pt idx="1">
                  <c:v>-35.900000000000006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74-4DF7-A95C-B9C8249168C8}"/>
            </c:ext>
          </c:extLst>
        </c:ser>
        <c:ser>
          <c:idx val="3"/>
          <c:order val="3"/>
          <c:tx>
            <c:v>poly(styrene) in deuterated chloroform</c:v>
          </c:tx>
          <c:spPr>
            <a:ln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Flory!$M$7:$N$7</c:f>
              <c:numCache>
                <c:formatCode>General</c:formatCode>
                <c:ptCount val="2"/>
                <c:pt idx="0">
                  <c:v>-9.11</c:v>
                </c:pt>
                <c:pt idx="1">
                  <c:v>-10.52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574-4DF7-A95C-B9C8249168C8}"/>
            </c:ext>
          </c:extLst>
        </c:ser>
        <c:ser>
          <c:idx val="4"/>
          <c:order val="4"/>
          <c:tx>
            <c:v>poly(methyl methacrylate) in deuterated chloroform</c:v>
          </c:tx>
          <c:spPr>
            <a:ln>
              <a:solidFill>
                <a:srgbClr val="F79646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Flory!$M$8:$N$8</c:f>
              <c:numCache>
                <c:formatCode>General</c:formatCode>
                <c:ptCount val="2"/>
                <c:pt idx="0">
                  <c:v>-9.14</c:v>
                </c:pt>
                <c:pt idx="1">
                  <c:v>-10.58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574-4DF7-A95C-B9C8249168C8}"/>
            </c:ext>
          </c:extLst>
        </c:ser>
        <c:ser>
          <c:idx val="5"/>
          <c:order val="5"/>
          <c:tx>
            <c:v>poly(styrene) in tetrahydrofuran</c:v>
          </c:tx>
          <c:spPr>
            <a:ln>
              <a:solidFill>
                <a:srgbClr val="4BACC6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Flory!$M$10:$N$10</c:f>
              <c:numCache>
                <c:formatCode>General</c:formatCode>
                <c:ptCount val="2"/>
                <c:pt idx="0">
                  <c:v>-9.1999999999999993</c:v>
                </c:pt>
                <c:pt idx="1">
                  <c:v>-10.7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574-4DF7-A95C-B9C8249168C8}"/>
            </c:ext>
          </c:extLst>
        </c:ser>
        <c:ser>
          <c:idx val="6"/>
          <c:order val="6"/>
          <c:tx>
            <c:v>poly(ethylene oxide) in deuterium oxide</c:v>
          </c:tx>
          <c:spPr>
            <a:ln>
              <a:solidFill>
                <a:srgbClr val="E26B0A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Flory!$M$11:$N$11</c:f>
              <c:numCache>
                <c:formatCode>General</c:formatCode>
                <c:ptCount val="2"/>
                <c:pt idx="0">
                  <c:v>-9.32</c:v>
                </c:pt>
                <c:pt idx="1">
                  <c:v>-10.940000000000001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574-4DF7-A95C-B9C8249168C8}"/>
            </c:ext>
          </c:extLst>
        </c:ser>
        <c:ser>
          <c:idx val="7"/>
          <c:order val="7"/>
          <c:tx>
            <c:v>poly(methyl methacrylate) in acetone</c:v>
          </c:tx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Flory!$M$13:$N$13</c:f>
              <c:numCache>
                <c:formatCode>General</c:formatCode>
                <c:ptCount val="2"/>
                <c:pt idx="0">
                  <c:v>-9.32</c:v>
                </c:pt>
                <c:pt idx="1">
                  <c:v>-10.940000000000001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574-4DF7-A95C-B9C8249168C8}"/>
            </c:ext>
          </c:extLst>
        </c:ser>
        <c:ser>
          <c:idx val="8"/>
          <c:order val="8"/>
          <c:tx>
            <c:v>poly(ethylene oxide) in water</c:v>
          </c:tx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Flory!$M$14:$N$14</c:f>
              <c:numCache>
                <c:formatCode>General</c:formatCode>
                <c:ptCount val="2"/>
                <c:pt idx="0">
                  <c:v>-9.35</c:v>
                </c:pt>
                <c:pt idx="1">
                  <c:v>-11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C574-4DF7-A95C-B9C8249168C8}"/>
            </c:ext>
          </c:extLst>
        </c:ser>
        <c:ser>
          <c:idx val="9"/>
          <c:order val="9"/>
          <c:tx>
            <c:v>poly(ethylene oxide) in deuterated chloroform</c:v>
          </c:tx>
          <c:spPr>
            <a:ln>
              <a:solidFill>
                <a:srgbClr val="1F497D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Flory!$M$17:$N$17</c:f>
              <c:numCache>
                <c:formatCode>General</c:formatCode>
                <c:ptCount val="2"/>
                <c:pt idx="0">
                  <c:v>-9.44</c:v>
                </c:pt>
                <c:pt idx="1">
                  <c:v>-11.18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C574-4DF7-A95C-B9C8249168C8}"/>
            </c:ext>
          </c:extLst>
        </c:ser>
        <c:ser>
          <c:idx val="10"/>
          <c:order val="10"/>
          <c:tx>
            <c:v>poly(methyl methacrylate) in deuterated chloroform</c:v>
          </c:tx>
          <c:spPr>
            <a:ln>
              <a:solidFill>
                <a:srgbClr val="C0504D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Flory!$M$19:$N$19</c:f>
              <c:numCache>
                <c:formatCode>General</c:formatCode>
                <c:ptCount val="2"/>
                <c:pt idx="0">
                  <c:v>-9.5300000000000011</c:v>
                </c:pt>
                <c:pt idx="1">
                  <c:v>-11.36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C574-4DF7-A95C-B9C8249168C8}"/>
            </c:ext>
          </c:extLst>
        </c:ser>
        <c:ser>
          <c:idx val="11"/>
          <c:order val="11"/>
          <c:tx>
            <c:v>poly(styrene) in deuterated chloroform</c:v>
          </c:tx>
          <c:spPr>
            <a:ln>
              <a:solidFill>
                <a:srgbClr val="9BBB59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Flory!$M$20:$N$20</c:f>
              <c:numCache>
                <c:formatCode>General</c:formatCode>
                <c:ptCount val="2"/>
                <c:pt idx="0">
                  <c:v>-9.5300000000000011</c:v>
                </c:pt>
                <c:pt idx="1">
                  <c:v>-11.36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C574-4DF7-A95C-B9C8249168C8}"/>
            </c:ext>
          </c:extLst>
        </c:ser>
        <c:ser>
          <c:idx val="12"/>
          <c:order val="12"/>
          <c:tx>
            <c:v>poly(styrene) in tetrahydrofuran</c:v>
          </c:tx>
          <c:spPr>
            <a:ln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Flory!$M$21:$N$21</c:f>
              <c:numCache>
                <c:formatCode>General</c:formatCode>
                <c:ptCount val="2"/>
                <c:pt idx="0">
                  <c:v>-9.56</c:v>
                </c:pt>
                <c:pt idx="1">
                  <c:v>-11.42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C574-4DF7-A95C-B9C8249168C8}"/>
            </c:ext>
          </c:extLst>
        </c:ser>
        <c:ser>
          <c:idx val="13"/>
          <c:order val="13"/>
          <c:tx>
            <c:v>poly(N-acryloylmorpholine) in deuterium oxide</c:v>
          </c:tx>
          <c:spPr>
            <a:ln>
              <a:solidFill>
                <a:srgbClr val="F79646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Flory!$M$23:$N$23</c:f>
              <c:numCache>
                <c:formatCode>General</c:formatCode>
                <c:ptCount val="2"/>
                <c:pt idx="0">
                  <c:v>2.4430000000000001</c:v>
                </c:pt>
                <c:pt idx="1">
                  <c:v>1.0030000000000001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C574-4DF7-A95C-B9C8249168C8}"/>
            </c:ext>
          </c:extLst>
        </c:ser>
        <c:ser>
          <c:idx val="14"/>
          <c:order val="14"/>
          <c:tx>
            <c:v>poly(N-acryloylmorpholine) in deuterated chloroform</c:v>
          </c:tx>
          <c:spPr>
            <a:ln>
              <a:solidFill>
                <a:srgbClr val="4BACC6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Flory!$M$24:$N$24</c:f>
              <c:numCache>
                <c:formatCode>General</c:formatCode>
                <c:ptCount val="2"/>
                <c:pt idx="0">
                  <c:v>2.7170000000000001</c:v>
                </c:pt>
                <c:pt idx="1">
                  <c:v>1.2770000000000001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C574-4DF7-A95C-B9C8249168C8}"/>
            </c:ext>
          </c:extLst>
        </c:ser>
        <c:ser>
          <c:idx val="15"/>
          <c:order val="15"/>
          <c:tx>
            <c:v>poly(N-acryloylmorpholine) in phosphate buffered saline</c:v>
          </c:tx>
          <c:spPr>
            <a:ln>
              <a:solidFill>
                <a:srgbClr val="E26B0A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Flory!$M$25:$N$25</c:f>
              <c:numCache>
                <c:formatCode>General</c:formatCode>
                <c:ptCount val="2"/>
                <c:pt idx="0">
                  <c:v>2.359</c:v>
                </c:pt>
                <c:pt idx="1">
                  <c:v>1.0089999999999999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C574-4DF7-A95C-B9C8249168C8}"/>
            </c:ext>
          </c:extLst>
        </c:ser>
        <c:ser>
          <c:idx val="16"/>
          <c:order val="16"/>
          <c:tx>
            <c:v>poly(N-acryloylmorpholine) in deuterium oxide / methanol-d4 (80/20)</c:v>
          </c:tx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Flory!$M$26:$N$26</c:f>
              <c:numCache>
                <c:formatCode>General</c:formatCode>
                <c:ptCount val="2"/>
                <c:pt idx="0">
                  <c:v>2.331</c:v>
                </c:pt>
                <c:pt idx="1">
                  <c:v>1.101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C574-4DF7-A95C-B9C8249168C8}"/>
            </c:ext>
          </c:extLst>
        </c:ser>
        <c:ser>
          <c:idx val="17"/>
          <c:order val="17"/>
          <c:tx>
            <c:v>poly(styrene) in benzene-d6</c:v>
          </c:tx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Flory!$M$27:$N$27</c:f>
              <c:numCache>
                <c:formatCode>General</c:formatCode>
                <c:ptCount val="2"/>
                <c:pt idx="0">
                  <c:v>-9.1497974776688977</c:v>
                </c:pt>
                <c:pt idx="1">
                  <c:v>-10.808797477668897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C574-4DF7-A95C-B9C8249168C8}"/>
            </c:ext>
          </c:extLst>
        </c:ser>
        <c:ser>
          <c:idx val="18"/>
          <c:order val="18"/>
          <c:tx>
            <c:v>poly(styrene) in benzene-d6</c:v>
          </c:tx>
          <c:spPr>
            <a:ln>
              <a:solidFill>
                <a:srgbClr val="1F497D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Flory!$M$28:$N$28</c:f>
              <c:numCache>
                <c:formatCode>General</c:formatCode>
                <c:ptCount val="2"/>
                <c:pt idx="0">
                  <c:v>-8.6288141382538388</c:v>
                </c:pt>
                <c:pt idx="1">
                  <c:v>-11.32581413825384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C574-4DF7-A95C-B9C8249168C8}"/>
            </c:ext>
          </c:extLst>
        </c:ser>
        <c:ser>
          <c:idx val="19"/>
          <c:order val="19"/>
          <c:tx>
            <c:v>poly(methyl methacrylate) in benzene-d6</c:v>
          </c:tx>
          <c:spPr>
            <a:ln>
              <a:solidFill>
                <a:srgbClr val="C0504D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Flory!$M$29:$N$29</c:f>
              <c:numCache>
                <c:formatCode>General</c:formatCode>
                <c:ptCount val="2"/>
                <c:pt idx="0">
                  <c:v>-9.1531551399914903</c:v>
                </c:pt>
                <c:pt idx="1">
                  <c:v>-10.761155139991491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C574-4DF7-A95C-B9C8249168C8}"/>
            </c:ext>
          </c:extLst>
        </c:ser>
        <c:ser>
          <c:idx val="20"/>
          <c:order val="20"/>
          <c:tx>
            <c:v>poly(methyl methacrylate) in benzene-d6</c:v>
          </c:tx>
          <c:spPr>
            <a:ln>
              <a:solidFill>
                <a:srgbClr val="9BBB59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Flory!$M$30:$N$30</c:f>
              <c:numCache>
                <c:formatCode>General</c:formatCode>
                <c:ptCount val="2"/>
                <c:pt idx="0">
                  <c:v>-8.5938952016351919</c:v>
                </c:pt>
                <c:pt idx="1">
                  <c:v>-11.314895201635192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C574-4DF7-A95C-B9C8249168C8}"/>
            </c:ext>
          </c:extLst>
        </c:ser>
        <c:ser>
          <c:idx val="21"/>
          <c:order val="21"/>
          <c:tx>
            <c:v>polyimide in benzene-d6</c:v>
          </c:tx>
          <c:spPr>
            <a:ln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Flory!$M$31:$N$31</c:f>
              <c:numCache>
                <c:formatCode>General</c:formatCode>
                <c:ptCount val="2"/>
                <c:pt idx="0">
                  <c:v>-9.1342766919926586</c:v>
                </c:pt>
                <c:pt idx="1">
                  <c:v>-10.880276691992659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C574-4DF7-A95C-B9C8249168C8}"/>
            </c:ext>
          </c:extLst>
        </c:ser>
        <c:ser>
          <c:idx val="22"/>
          <c:order val="22"/>
          <c:tx>
            <c:v>polyimide in benzene-d6</c:v>
          </c:tx>
          <c:spPr>
            <a:ln>
              <a:solidFill>
                <a:srgbClr val="F79646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Flory!$M$32:$N$32</c:f>
              <c:numCache>
                <c:formatCode>General</c:formatCode>
                <c:ptCount val="2"/>
                <c:pt idx="0">
                  <c:v>-8.3426328713435289</c:v>
                </c:pt>
                <c:pt idx="1">
                  <c:v>-11.585632871343527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C574-4DF7-A95C-B9C8249168C8}"/>
            </c:ext>
          </c:extLst>
        </c:ser>
        <c:ser>
          <c:idx val="23"/>
          <c:order val="23"/>
          <c:tx>
            <c:v>poly(methyl methacrylate) in toluene</c:v>
          </c:tx>
          <c:spPr>
            <a:ln>
              <a:solidFill>
                <a:srgbClr val="4BACC6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Flory!$M$33:$N$33</c:f>
              <c:numCache>
                <c:formatCode>General</c:formatCode>
                <c:ptCount val="2"/>
                <c:pt idx="0">
                  <c:v>-9.3999999999999986</c:v>
                </c:pt>
                <c:pt idx="1">
                  <c:v>-10.69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C574-4DF7-A95C-B9C8249168C8}"/>
            </c:ext>
          </c:extLst>
        </c:ser>
        <c:ser>
          <c:idx val="24"/>
          <c:order val="24"/>
          <c:tx>
            <c:v>poly(methyl methacrylate) in benzene</c:v>
          </c:tx>
          <c:spPr>
            <a:ln>
              <a:solidFill>
                <a:srgbClr val="E26B0A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Flory!$M$34:$N$34</c:f>
              <c:numCache>
                <c:formatCode>General</c:formatCode>
                <c:ptCount val="2"/>
                <c:pt idx="0">
                  <c:v>-9.35</c:v>
                </c:pt>
                <c:pt idx="1">
                  <c:v>-10.79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C574-4DF7-A95C-B9C8249168C8}"/>
            </c:ext>
          </c:extLst>
        </c:ser>
        <c:ser>
          <c:idx val="25"/>
          <c:order val="25"/>
          <c:tx>
            <c:v>poly(methyl methacrylate) in benzene</c:v>
          </c:tx>
          <c:spPr>
            <a:ln>
              <a:solidFill>
                <a:srgbClr val="7030A0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Flory!$M$35:$N$35</c:f>
              <c:numCache>
                <c:formatCode>General</c:formatCode>
                <c:ptCount val="2"/>
                <c:pt idx="0">
                  <c:v>-9.06</c:v>
                </c:pt>
                <c:pt idx="1">
                  <c:v>-10.38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C574-4DF7-A95C-B9C8249168C8}"/>
            </c:ext>
          </c:extLst>
        </c:ser>
        <c:ser>
          <c:idx val="26"/>
          <c:order val="26"/>
          <c:tx>
            <c:v>poly(methyl methacrylate) in acetone</c:v>
          </c:tx>
          <c:spPr>
            <a:ln>
              <a:solidFill>
                <a:srgbClr val="00B0F0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Flory!$M$36:$N$36</c:f>
              <c:numCache>
                <c:formatCode>General</c:formatCode>
                <c:ptCount val="2"/>
                <c:pt idx="0">
                  <c:v>-9.06</c:v>
                </c:pt>
                <c:pt idx="1">
                  <c:v>-10.38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C574-4DF7-A95C-B9C8249168C8}"/>
            </c:ext>
          </c:extLst>
        </c:ser>
        <c:ser>
          <c:idx val="27"/>
          <c:order val="27"/>
          <c:tx>
            <c:v>poly(methyl methacrylate) in tetrahydrofuran</c:v>
          </c:tx>
          <c:spPr>
            <a:ln>
              <a:solidFill>
                <a:srgbClr val="1F497D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Flory!$M$37:$N$37</c:f>
              <c:numCache>
                <c:formatCode>General</c:formatCode>
                <c:ptCount val="2"/>
                <c:pt idx="0">
                  <c:v>-9.3099999999999987</c:v>
                </c:pt>
                <c:pt idx="1">
                  <c:v>-10.6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C574-4DF7-A95C-B9C8249168C8}"/>
            </c:ext>
          </c:extLst>
        </c:ser>
        <c:ser>
          <c:idx val="28"/>
          <c:order val="28"/>
          <c:tx>
            <c:v>poly(butyl acrylate) in benzene</c:v>
          </c:tx>
          <c:spPr>
            <a:ln>
              <a:solidFill>
                <a:srgbClr val="C0504D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Flory!$M$39:$N$39</c:f>
              <c:numCache>
                <c:formatCode>General</c:formatCode>
                <c:ptCount val="2"/>
                <c:pt idx="0">
                  <c:v>-9.36</c:v>
                </c:pt>
                <c:pt idx="1">
                  <c:v>-10.89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C574-4DF7-A95C-B9C8249168C8}"/>
            </c:ext>
          </c:extLst>
        </c:ser>
        <c:ser>
          <c:idx val="29"/>
          <c:order val="29"/>
          <c:tx>
            <c:v>poly(butyl acrylate) in acetone</c:v>
          </c:tx>
          <c:spPr>
            <a:ln>
              <a:solidFill>
                <a:srgbClr val="9BBB59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Flory!$M$40:$N$40</c:f>
              <c:numCache>
                <c:formatCode>General</c:formatCode>
                <c:ptCount val="2"/>
                <c:pt idx="0">
                  <c:v>-9.0599999999999987</c:v>
                </c:pt>
                <c:pt idx="1">
                  <c:v>-10.559999999999999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C574-4DF7-A95C-B9C8249168C8}"/>
            </c:ext>
          </c:extLst>
        </c:ser>
        <c:ser>
          <c:idx val="30"/>
          <c:order val="30"/>
          <c:tx>
            <c:v>poly(butyl acrylate) in chloroform</c:v>
          </c:tx>
          <c:spPr>
            <a:ln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Flory!$M$41:$N$41</c:f>
              <c:numCache>
                <c:formatCode>General</c:formatCode>
                <c:ptCount val="2"/>
                <c:pt idx="0">
                  <c:v>-9.36</c:v>
                </c:pt>
                <c:pt idx="1">
                  <c:v>-10.86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C574-4DF7-A95C-B9C8249168C8}"/>
            </c:ext>
          </c:extLst>
        </c:ser>
        <c:ser>
          <c:idx val="31"/>
          <c:order val="31"/>
          <c:tx>
            <c:v>poly(ethylene glycol) methyl ether acrylate in water</c:v>
          </c:tx>
          <c:spPr>
            <a:ln>
              <a:solidFill>
                <a:srgbClr val="F79646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Flory!$M$43:$N$43</c:f>
              <c:numCache>
                <c:formatCode>General</c:formatCode>
                <c:ptCount val="2"/>
                <c:pt idx="0">
                  <c:v>-9.7200000000000006</c:v>
                </c:pt>
                <c:pt idx="1">
                  <c:v>-11.13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C574-4DF7-A95C-B9C8249168C8}"/>
            </c:ext>
          </c:extLst>
        </c:ser>
        <c:ser>
          <c:idx val="32"/>
          <c:order val="32"/>
          <c:tx>
            <c:v>poly(ethylene glycol) methyl ether acrylate in acetone</c:v>
          </c:tx>
          <c:spPr>
            <a:ln>
              <a:solidFill>
                <a:srgbClr val="4BACC6"/>
              </a:solidFill>
              <a:prstDash val="solid"/>
            </a:ln>
          </c:spPr>
          <c:marker>
            <c:symbol val="none"/>
          </c:marker>
          <c:cat>
            <c:numRef>
              <c:f>Flory!$M$1:$N$1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cat>
          <c:val>
            <c:numRef>
              <c:f>Flory!$M$44:$N$44</c:f>
              <c:numCache>
                <c:formatCode>General</c:formatCode>
                <c:ptCount val="2"/>
                <c:pt idx="0">
                  <c:v>-9.18</c:v>
                </c:pt>
                <c:pt idx="1">
                  <c:v>-10.35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C574-4DF7-A95C-B9C824916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log(M / g mol⁻¹)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3.22"/>
          <c:min val="-36.4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log(D / m² s⁻¹)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47624</xdr:colOff>
      <xdr:row>3</xdr:row>
      <xdr:rowOff>0</xdr:rowOff>
    </xdr:from>
    <xdr:ext cx="6432375" cy="5524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workbookViewId="0">
      <selection activeCell="E13" sqref="E13"/>
    </sheetView>
  </sheetViews>
  <sheetFormatPr defaultRowHeight="14.4" x14ac:dyDescent="0.3"/>
  <cols>
    <col min="1" max="1" width="42" customWidth="1"/>
    <col min="2" max="2" width="15" customWidth="1"/>
  </cols>
  <sheetData>
    <row r="1" spans="1:2" ht="16.8" x14ac:dyDescent="0.4">
      <c r="A1" s="1" t="s">
        <v>0</v>
      </c>
    </row>
    <row r="2" spans="1:2" ht="15" x14ac:dyDescent="0.3">
      <c r="A2" s="2" t="s">
        <v>1</v>
      </c>
      <c r="B2" s="2" t="s">
        <v>2</v>
      </c>
    </row>
    <row r="3" spans="1:2" ht="15" x14ac:dyDescent="0.3">
      <c r="A3" s="3" t="s">
        <v>3</v>
      </c>
      <c r="B3" s="4">
        <v>44</v>
      </c>
    </row>
    <row r="4" spans="1:2" ht="15" x14ac:dyDescent="0.3">
      <c r="A4" s="3" t="s">
        <v>4</v>
      </c>
      <c r="B4" s="4">
        <v>44</v>
      </c>
    </row>
    <row r="5" spans="1:2" ht="15" x14ac:dyDescent="0.3">
      <c r="A5" s="3" t="s">
        <v>5</v>
      </c>
      <c r="B5" s="4">
        <v>0</v>
      </c>
    </row>
    <row r="6" spans="1:2" ht="15" x14ac:dyDescent="0.3">
      <c r="A6" s="3" t="s">
        <v>6</v>
      </c>
      <c r="B6" s="4">
        <v>23</v>
      </c>
    </row>
    <row r="7" spans="1:2" ht="15" x14ac:dyDescent="0.3">
      <c r="A7" s="3" t="s">
        <v>7</v>
      </c>
      <c r="B7" s="4" t="s">
        <v>8</v>
      </c>
    </row>
    <row r="10" spans="1:2" ht="16.8" x14ac:dyDescent="0.4">
      <c r="A10" s="1" t="s">
        <v>9</v>
      </c>
    </row>
    <row r="11" spans="1:2" ht="15" x14ac:dyDescent="0.3">
      <c r="A11" s="2" t="s">
        <v>10</v>
      </c>
      <c r="B11" s="2" t="s">
        <v>11</v>
      </c>
    </row>
    <row r="12" spans="1:2" ht="15" x14ac:dyDescent="0.3">
      <c r="A12" s="3" t="s">
        <v>12</v>
      </c>
      <c r="B12" s="4">
        <v>12</v>
      </c>
    </row>
    <row r="13" spans="1:2" ht="15" x14ac:dyDescent="0.3">
      <c r="A13" s="3" t="s">
        <v>13</v>
      </c>
      <c r="B13" s="4">
        <v>8</v>
      </c>
    </row>
    <row r="14" spans="1:2" ht="15" x14ac:dyDescent="0.3">
      <c r="A14" s="3" t="s">
        <v>14</v>
      </c>
      <c r="B14" s="4">
        <v>2</v>
      </c>
    </row>
    <row r="15" spans="1:2" ht="15" x14ac:dyDescent="0.3">
      <c r="A15" s="3" t="s">
        <v>15</v>
      </c>
      <c r="B15" s="4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selection activeCell="F12" sqref="F12"/>
    </sheetView>
  </sheetViews>
  <sheetFormatPr defaultRowHeight="14.4" x14ac:dyDescent="0.3"/>
  <cols>
    <col min="1" max="1" width="104.44140625" customWidth="1"/>
    <col min="2" max="2" width="14" customWidth="1"/>
    <col min="3" max="3" width="15" customWidth="1"/>
    <col min="4" max="4" width="18" customWidth="1"/>
    <col min="5" max="5" width="20" customWidth="1"/>
    <col min="6" max="6" width="27.109375" customWidth="1"/>
    <col min="7" max="7" width="21" customWidth="1"/>
  </cols>
  <sheetData>
    <row r="1" spans="1:7" ht="15" x14ac:dyDescent="0.3">
      <c r="A1" s="2" t="s">
        <v>16</v>
      </c>
      <c r="B1" s="2" t="s">
        <v>17</v>
      </c>
      <c r="C1" s="2" t="s">
        <v>18</v>
      </c>
      <c r="D1" s="2" t="s">
        <v>19</v>
      </c>
      <c r="E1" s="2" t="s">
        <v>4</v>
      </c>
      <c r="F1" s="2" t="s">
        <v>5</v>
      </c>
      <c r="G1" s="2" t="s">
        <v>20</v>
      </c>
    </row>
    <row r="2" spans="1:7" ht="15" x14ac:dyDescent="0.3">
      <c r="A2" s="3" t="s">
        <v>21</v>
      </c>
      <c r="B2" s="3" t="s">
        <v>22</v>
      </c>
      <c r="C2" s="4">
        <v>2</v>
      </c>
      <c r="D2" s="4">
        <v>2</v>
      </c>
      <c r="E2" s="4">
        <v>21</v>
      </c>
      <c r="F2" s="4">
        <v>0</v>
      </c>
      <c r="G2" s="4">
        <v>9</v>
      </c>
    </row>
    <row r="3" spans="1:7" ht="15" x14ac:dyDescent="0.3">
      <c r="A3" s="3" t="s">
        <v>23</v>
      </c>
      <c r="B3" s="3" t="s">
        <v>22</v>
      </c>
      <c r="C3" s="4">
        <v>2</v>
      </c>
      <c r="D3" s="4">
        <v>1</v>
      </c>
      <c r="E3" s="4">
        <v>4</v>
      </c>
      <c r="F3" s="4">
        <v>0</v>
      </c>
      <c r="G3" s="4">
        <v>0</v>
      </c>
    </row>
    <row r="4" spans="1:7" ht="15" x14ac:dyDescent="0.3">
      <c r="A4" s="3" t="s">
        <v>24</v>
      </c>
      <c r="B4" s="3" t="s">
        <v>22</v>
      </c>
      <c r="C4" s="4">
        <v>6</v>
      </c>
      <c r="D4" s="4">
        <v>1</v>
      </c>
      <c r="E4" s="4">
        <v>6</v>
      </c>
      <c r="F4" s="4">
        <v>0</v>
      </c>
      <c r="G4" s="4">
        <v>0</v>
      </c>
    </row>
    <row r="5" spans="1:7" ht="15" x14ac:dyDescent="0.3">
      <c r="A5" s="3" t="s">
        <v>25</v>
      </c>
      <c r="B5" s="3" t="s">
        <v>22</v>
      </c>
      <c r="C5" s="4">
        <v>8</v>
      </c>
      <c r="D5" s="4">
        <v>3</v>
      </c>
      <c r="E5" s="4">
        <v>13</v>
      </c>
      <c r="F5" s="4">
        <v>0</v>
      </c>
      <c r="G5" s="4">
        <v>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5"/>
  <sheetViews>
    <sheetView zoomScale="70" zoomScaleNormal="70" workbookViewId="0">
      <selection activeCell="A18" sqref="A18:B29"/>
    </sheetView>
  </sheetViews>
  <sheetFormatPr defaultRowHeight="14.4" x14ac:dyDescent="0.3"/>
  <cols>
    <col min="1" max="1" width="46" customWidth="1"/>
    <col min="2" max="2" width="40" customWidth="1"/>
    <col min="3" max="3" width="25" customWidth="1"/>
    <col min="4" max="4" width="54" customWidth="1"/>
    <col min="5" max="5" width="29" customWidth="1"/>
    <col min="6" max="6" width="19" customWidth="1"/>
    <col min="7" max="7" width="18" customWidth="1"/>
    <col min="8" max="8" width="141" customWidth="1"/>
    <col min="9" max="9" width="12" customWidth="1"/>
    <col min="10" max="10" width="24" customWidth="1"/>
  </cols>
  <sheetData>
    <row r="1" spans="1:10" ht="15" x14ac:dyDescent="0.3">
      <c r="A1" s="2" t="s">
        <v>26</v>
      </c>
      <c r="B1" s="2" t="s">
        <v>27</v>
      </c>
      <c r="C1" s="2" t="s">
        <v>28</v>
      </c>
      <c r="D1" s="2" t="s">
        <v>29</v>
      </c>
      <c r="E1" s="2" t="s">
        <v>30</v>
      </c>
      <c r="F1" s="2" t="s">
        <v>31</v>
      </c>
      <c r="G1" s="2" t="s">
        <v>32</v>
      </c>
      <c r="H1" s="2" t="s">
        <v>16</v>
      </c>
      <c r="I1" s="2" t="s">
        <v>33</v>
      </c>
      <c r="J1" s="2" t="s">
        <v>34</v>
      </c>
    </row>
    <row r="2" spans="1:10" ht="15" x14ac:dyDescent="0.3">
      <c r="A2" s="5" t="s">
        <v>35</v>
      </c>
      <c r="B2" s="5" t="s">
        <v>36</v>
      </c>
      <c r="C2" s="6">
        <v>-7.7</v>
      </c>
      <c r="D2" s="5" t="s">
        <v>37</v>
      </c>
      <c r="E2" s="6">
        <v>0.57999999999999996</v>
      </c>
      <c r="F2" s="5" t="s">
        <v>38</v>
      </c>
      <c r="G2" s="6"/>
      <c r="H2" s="5" t="s">
        <v>21</v>
      </c>
      <c r="I2" s="5" t="s">
        <v>39</v>
      </c>
      <c r="J2" s="5" t="s">
        <v>15</v>
      </c>
    </row>
    <row r="3" spans="1:10" ht="15" x14ac:dyDescent="0.3">
      <c r="A3" s="5" t="s">
        <v>40</v>
      </c>
      <c r="B3" s="5" t="s">
        <v>36</v>
      </c>
      <c r="C3" s="6">
        <v>-7.7</v>
      </c>
      <c r="D3" s="5" t="s">
        <v>37</v>
      </c>
      <c r="E3" s="6">
        <v>0.56999999999999995</v>
      </c>
      <c r="F3" s="5" t="s">
        <v>38</v>
      </c>
      <c r="G3" s="6"/>
      <c r="H3" s="5" t="s">
        <v>21</v>
      </c>
      <c r="I3" s="5" t="s">
        <v>39</v>
      </c>
      <c r="J3" s="5" t="s">
        <v>13</v>
      </c>
    </row>
    <row r="4" spans="1:10" ht="15" x14ac:dyDescent="0.3">
      <c r="A4" s="5" t="s">
        <v>41</v>
      </c>
      <c r="B4" s="5" t="s">
        <v>36</v>
      </c>
      <c r="C4" s="6">
        <v>-7.7</v>
      </c>
      <c r="D4" s="5" t="s">
        <v>37</v>
      </c>
      <c r="E4" s="6">
        <v>0.39</v>
      </c>
      <c r="F4" s="5" t="s">
        <v>38</v>
      </c>
      <c r="G4" s="6"/>
      <c r="H4" s="5" t="s">
        <v>21</v>
      </c>
      <c r="I4" s="5" t="s">
        <v>39</v>
      </c>
      <c r="J4" s="5" t="s">
        <v>13</v>
      </c>
    </row>
    <row r="5" spans="1:10" ht="15" x14ac:dyDescent="0.3">
      <c r="A5" s="5" t="s">
        <v>41</v>
      </c>
      <c r="B5" s="5" t="s">
        <v>36</v>
      </c>
      <c r="C5" s="6">
        <v>-7.7</v>
      </c>
      <c r="D5" s="5" t="s">
        <v>37</v>
      </c>
      <c r="E5" s="6">
        <v>0.39</v>
      </c>
      <c r="F5" s="5" t="s">
        <v>38</v>
      </c>
      <c r="G5" s="6"/>
      <c r="H5" s="5" t="s">
        <v>21</v>
      </c>
      <c r="I5" s="5" t="s">
        <v>39</v>
      </c>
      <c r="J5" s="5" t="s">
        <v>13</v>
      </c>
    </row>
    <row r="6" spans="1:10" ht="15" x14ac:dyDescent="0.3">
      <c r="A6" s="5" t="s">
        <v>42</v>
      </c>
      <c r="B6" s="5" t="s">
        <v>36</v>
      </c>
      <c r="C6" s="6">
        <v>-7.7</v>
      </c>
      <c r="D6" s="5" t="s">
        <v>37</v>
      </c>
      <c r="E6" s="6">
        <v>0.71</v>
      </c>
      <c r="F6" s="5" t="s">
        <v>38</v>
      </c>
      <c r="G6" s="6"/>
      <c r="H6" s="5" t="s">
        <v>21</v>
      </c>
      <c r="I6" s="5" t="s">
        <v>39</v>
      </c>
      <c r="J6" s="5" t="s">
        <v>13</v>
      </c>
    </row>
    <row r="7" spans="1:10" ht="15" x14ac:dyDescent="0.3">
      <c r="A7" s="5" t="s">
        <v>43</v>
      </c>
      <c r="B7" s="5" t="s">
        <v>36</v>
      </c>
      <c r="C7" s="6">
        <v>-7.7</v>
      </c>
      <c r="D7" s="5" t="s">
        <v>37</v>
      </c>
      <c r="E7" s="6">
        <v>0.48</v>
      </c>
      <c r="F7" s="5" t="s">
        <v>38</v>
      </c>
      <c r="G7" s="6"/>
      <c r="H7" s="5" t="s">
        <v>21</v>
      </c>
      <c r="I7" s="5" t="s">
        <v>39</v>
      </c>
      <c r="J7" s="5" t="s">
        <v>13</v>
      </c>
    </row>
    <row r="8" spans="1:10" ht="15" x14ac:dyDescent="0.3">
      <c r="A8" s="3" t="s">
        <v>44</v>
      </c>
      <c r="B8" s="3" t="s">
        <v>45</v>
      </c>
      <c r="C8" s="4">
        <v>-7.56</v>
      </c>
      <c r="D8" s="3" t="s">
        <v>38</v>
      </c>
      <c r="E8" s="4">
        <v>0.5</v>
      </c>
      <c r="F8" s="3" t="s">
        <v>38</v>
      </c>
      <c r="G8" s="4"/>
      <c r="H8" s="3" t="s">
        <v>25</v>
      </c>
      <c r="I8" s="3" t="s">
        <v>46</v>
      </c>
      <c r="J8" s="3" t="s">
        <v>47</v>
      </c>
    </row>
    <row r="9" spans="1:10" ht="15" x14ac:dyDescent="0.3">
      <c r="A9" s="3" t="s">
        <v>44</v>
      </c>
      <c r="B9" s="3" t="s">
        <v>48</v>
      </c>
      <c r="C9" s="4">
        <v>-7.83</v>
      </c>
      <c r="D9" s="3" t="s">
        <v>38</v>
      </c>
      <c r="E9" s="4">
        <v>0.51</v>
      </c>
      <c r="F9" s="3" t="s">
        <v>38</v>
      </c>
      <c r="G9" s="4"/>
      <c r="H9" s="3" t="s">
        <v>25</v>
      </c>
      <c r="I9" s="3" t="s">
        <v>46</v>
      </c>
      <c r="J9" s="3" t="s">
        <v>47</v>
      </c>
    </row>
    <row r="10" spans="1:10" ht="15" x14ac:dyDescent="0.3">
      <c r="A10" s="3" t="s">
        <v>44</v>
      </c>
      <c r="B10" s="3" t="s">
        <v>49</v>
      </c>
      <c r="C10" s="4">
        <v>-7.86</v>
      </c>
      <c r="D10" s="3" t="s">
        <v>38</v>
      </c>
      <c r="E10" s="4">
        <v>0.5</v>
      </c>
      <c r="F10" s="3" t="s">
        <v>38</v>
      </c>
      <c r="G10" s="4"/>
      <c r="H10" s="3" t="s">
        <v>25</v>
      </c>
      <c r="I10" s="3" t="s">
        <v>46</v>
      </c>
      <c r="J10" s="3" t="s">
        <v>47</v>
      </c>
    </row>
    <row r="11" spans="1:10" ht="15" x14ac:dyDescent="0.3">
      <c r="A11" s="5" t="s">
        <v>44</v>
      </c>
      <c r="B11" s="5" t="s">
        <v>50</v>
      </c>
      <c r="C11" s="6">
        <v>-8.0500000000000007</v>
      </c>
      <c r="D11" s="5" t="s">
        <v>38</v>
      </c>
      <c r="E11" s="6">
        <v>0.51</v>
      </c>
      <c r="F11" s="5" t="s">
        <v>38</v>
      </c>
      <c r="G11" s="6"/>
      <c r="H11" s="5" t="s">
        <v>25</v>
      </c>
      <c r="I11" s="5" t="s">
        <v>46</v>
      </c>
      <c r="J11" s="5" t="s">
        <v>13</v>
      </c>
    </row>
    <row r="12" spans="1:10" ht="15" x14ac:dyDescent="0.3">
      <c r="A12" s="3" t="s">
        <v>51</v>
      </c>
      <c r="B12" s="3" t="s">
        <v>45</v>
      </c>
      <c r="C12" s="4">
        <v>-8.01</v>
      </c>
      <c r="D12" s="3" t="s">
        <v>38</v>
      </c>
      <c r="E12" s="4">
        <v>0.39</v>
      </c>
      <c r="F12" s="3" t="s">
        <v>38</v>
      </c>
      <c r="G12" s="4"/>
      <c r="H12" s="3" t="s">
        <v>25</v>
      </c>
      <c r="I12" s="3" t="s">
        <v>52</v>
      </c>
      <c r="J12" s="3" t="s">
        <v>47</v>
      </c>
    </row>
    <row r="13" spans="1:10" ht="15" x14ac:dyDescent="0.3">
      <c r="A13" s="5" t="s">
        <v>51</v>
      </c>
      <c r="B13" s="5" t="s">
        <v>53</v>
      </c>
      <c r="C13" s="6">
        <v>-8.39</v>
      </c>
      <c r="D13" s="5" t="s">
        <v>38</v>
      </c>
      <c r="E13" s="6">
        <v>0.43</v>
      </c>
      <c r="F13" s="5" t="s">
        <v>38</v>
      </c>
      <c r="G13" s="6"/>
      <c r="H13" s="5" t="s">
        <v>25</v>
      </c>
      <c r="I13" s="5" t="s">
        <v>52</v>
      </c>
      <c r="J13" s="5" t="s">
        <v>13</v>
      </c>
    </row>
    <row r="14" spans="1:10" ht="15" x14ac:dyDescent="0.3">
      <c r="A14" s="3" t="s">
        <v>51</v>
      </c>
      <c r="B14" s="3" t="s">
        <v>54</v>
      </c>
      <c r="C14" s="4">
        <v>-8.31</v>
      </c>
      <c r="D14" s="3" t="s">
        <v>38</v>
      </c>
      <c r="E14" s="4">
        <v>0.47</v>
      </c>
      <c r="F14" s="3" t="s">
        <v>38</v>
      </c>
      <c r="G14" s="4"/>
      <c r="H14" s="3" t="s">
        <v>25</v>
      </c>
      <c r="I14" s="3" t="s">
        <v>52</v>
      </c>
      <c r="J14" s="3" t="s">
        <v>47</v>
      </c>
    </row>
    <row r="15" spans="1:10" ht="15" x14ac:dyDescent="0.3">
      <c r="A15" s="3" t="s">
        <v>55</v>
      </c>
      <c r="B15" s="3" t="s">
        <v>56</v>
      </c>
      <c r="C15" s="4">
        <v>-7.7</v>
      </c>
      <c r="D15" s="3" t="s">
        <v>37</v>
      </c>
      <c r="E15" s="4">
        <v>0.57999999999999996</v>
      </c>
      <c r="F15" s="3" t="s">
        <v>38</v>
      </c>
      <c r="G15" s="4"/>
      <c r="H15" s="3" t="s">
        <v>21</v>
      </c>
      <c r="I15" s="3" t="s">
        <v>39</v>
      </c>
      <c r="J15" s="3" t="s">
        <v>47</v>
      </c>
    </row>
    <row r="16" spans="1:10" ht="15" x14ac:dyDescent="0.3">
      <c r="A16" s="3" t="s">
        <v>55</v>
      </c>
      <c r="B16" s="3" t="s">
        <v>57</v>
      </c>
      <c r="C16" s="4">
        <v>-7.7</v>
      </c>
      <c r="D16" s="3" t="s">
        <v>37</v>
      </c>
      <c r="E16" s="4">
        <v>0.54</v>
      </c>
      <c r="F16" s="3" t="s">
        <v>38</v>
      </c>
      <c r="G16" s="4"/>
      <c r="H16" s="3" t="s">
        <v>21</v>
      </c>
      <c r="I16" s="3" t="s">
        <v>39</v>
      </c>
      <c r="J16" s="3" t="s">
        <v>47</v>
      </c>
    </row>
    <row r="17" spans="1:10" ht="15" x14ac:dyDescent="0.3">
      <c r="A17" s="3" t="s">
        <v>55</v>
      </c>
      <c r="B17" s="3" t="s">
        <v>54</v>
      </c>
      <c r="C17" s="4">
        <v>-7.7</v>
      </c>
      <c r="D17" s="3" t="s">
        <v>37</v>
      </c>
      <c r="E17" s="4">
        <v>0.55000000000000004</v>
      </c>
      <c r="F17" s="3" t="s">
        <v>38</v>
      </c>
      <c r="G17" s="4"/>
      <c r="H17" s="3" t="s">
        <v>21</v>
      </c>
      <c r="I17" s="3" t="s">
        <v>39</v>
      </c>
      <c r="J17" s="3" t="s">
        <v>47</v>
      </c>
    </row>
    <row r="18" spans="1:10" ht="15" x14ac:dyDescent="0.3">
      <c r="A18" s="3" t="s">
        <v>58</v>
      </c>
      <c r="B18" s="3" t="s">
        <v>45</v>
      </c>
      <c r="C18" s="4">
        <v>-7.7</v>
      </c>
      <c r="D18" s="3" t="s">
        <v>37</v>
      </c>
      <c r="E18" s="4">
        <v>0.46</v>
      </c>
      <c r="F18" s="3" t="s">
        <v>38</v>
      </c>
      <c r="G18" s="4"/>
      <c r="H18" s="3" t="s">
        <v>21</v>
      </c>
      <c r="I18" s="3" t="s">
        <v>39</v>
      </c>
      <c r="J18" s="3" t="s">
        <v>47</v>
      </c>
    </row>
    <row r="19" spans="1:10" ht="15" x14ac:dyDescent="0.3">
      <c r="A19" s="3" t="s">
        <v>58</v>
      </c>
      <c r="B19" s="3" t="s">
        <v>45</v>
      </c>
      <c r="C19" s="4">
        <v>-7.7</v>
      </c>
      <c r="D19" s="3" t="s">
        <v>37</v>
      </c>
      <c r="E19" s="4">
        <v>0.54</v>
      </c>
      <c r="F19" s="3" t="s">
        <v>38</v>
      </c>
      <c r="G19" s="4"/>
      <c r="H19" s="3" t="s">
        <v>21</v>
      </c>
      <c r="I19" s="3" t="s">
        <v>39</v>
      </c>
      <c r="J19" s="3" t="s">
        <v>47</v>
      </c>
    </row>
    <row r="20" spans="1:10" ht="15" x14ac:dyDescent="0.3">
      <c r="A20" s="3" t="s">
        <v>58</v>
      </c>
      <c r="B20" s="3" t="s">
        <v>45</v>
      </c>
      <c r="C20" s="4">
        <v>-7.74</v>
      </c>
      <c r="D20" s="3" t="s">
        <v>38</v>
      </c>
      <c r="E20" s="4">
        <v>0.44</v>
      </c>
      <c r="F20" s="3" t="s">
        <v>38</v>
      </c>
      <c r="G20" s="4"/>
      <c r="H20" s="3" t="s">
        <v>25</v>
      </c>
      <c r="I20" s="3" t="s">
        <v>59</v>
      </c>
      <c r="J20" s="3" t="s">
        <v>47</v>
      </c>
    </row>
    <row r="21" spans="1:10" ht="15" x14ac:dyDescent="0.3">
      <c r="A21" s="3" t="s">
        <v>58</v>
      </c>
      <c r="B21" s="3" t="s">
        <v>48</v>
      </c>
      <c r="C21" s="4">
        <v>-7.91</v>
      </c>
      <c r="D21" s="3" t="s">
        <v>38</v>
      </c>
      <c r="E21" s="4">
        <v>0.48</v>
      </c>
      <c r="F21" s="3" t="s">
        <v>38</v>
      </c>
      <c r="G21" s="4"/>
      <c r="H21" s="3" t="s">
        <v>25</v>
      </c>
      <c r="I21" s="3" t="s">
        <v>59</v>
      </c>
      <c r="J21" s="3" t="s">
        <v>47</v>
      </c>
    </row>
    <row r="22" spans="1:10" ht="15" x14ac:dyDescent="0.3">
      <c r="A22" s="3" t="s">
        <v>58</v>
      </c>
      <c r="B22" s="3" t="s">
        <v>48</v>
      </c>
      <c r="C22" s="4">
        <v>-7.74</v>
      </c>
      <c r="D22" s="3" t="s">
        <v>38</v>
      </c>
      <c r="E22" s="4">
        <v>0.44</v>
      </c>
      <c r="F22" s="3" t="s">
        <v>38</v>
      </c>
      <c r="G22" s="4"/>
      <c r="H22" s="3" t="s">
        <v>25</v>
      </c>
      <c r="I22" s="3" t="s">
        <v>59</v>
      </c>
      <c r="J22" s="3" t="s">
        <v>47</v>
      </c>
    </row>
    <row r="23" spans="1:10" ht="15" x14ac:dyDescent="0.3">
      <c r="A23" s="3" t="s">
        <v>58</v>
      </c>
      <c r="B23" s="3" t="s">
        <v>60</v>
      </c>
      <c r="C23" s="4">
        <v>-7.5451551399914898</v>
      </c>
      <c r="D23" s="3" t="s">
        <v>61</v>
      </c>
      <c r="E23" s="4">
        <v>0.53600000000000003</v>
      </c>
      <c r="F23" s="3" t="s">
        <v>62</v>
      </c>
      <c r="G23" s="4"/>
      <c r="H23" s="3" t="s">
        <v>24</v>
      </c>
      <c r="I23" s="3" t="s">
        <v>59</v>
      </c>
      <c r="J23" s="3" t="s">
        <v>47</v>
      </c>
    </row>
    <row r="24" spans="1:10" ht="15" x14ac:dyDescent="0.3">
      <c r="A24" s="3" t="s">
        <v>58</v>
      </c>
      <c r="B24" s="3" t="s">
        <v>60</v>
      </c>
      <c r="C24" s="4">
        <v>-5.8728952016351927</v>
      </c>
      <c r="D24" s="3" t="s">
        <v>61</v>
      </c>
      <c r="E24" s="4">
        <v>0.90700000000000003</v>
      </c>
      <c r="F24" s="3" t="s">
        <v>62</v>
      </c>
      <c r="G24" s="4"/>
      <c r="H24" s="3" t="s">
        <v>24</v>
      </c>
      <c r="I24" s="3" t="s">
        <v>59</v>
      </c>
      <c r="J24" s="3" t="s">
        <v>47</v>
      </c>
    </row>
    <row r="25" spans="1:10" ht="15" x14ac:dyDescent="0.3">
      <c r="A25" s="5" t="s">
        <v>58</v>
      </c>
      <c r="B25" s="5" t="s">
        <v>53</v>
      </c>
      <c r="C25" s="6">
        <v>-8.27</v>
      </c>
      <c r="D25" s="5" t="s">
        <v>38</v>
      </c>
      <c r="E25" s="6">
        <v>0.45</v>
      </c>
      <c r="F25" s="5" t="s">
        <v>38</v>
      </c>
      <c r="G25" s="6"/>
      <c r="H25" s="5" t="s">
        <v>25</v>
      </c>
      <c r="I25" s="5" t="s">
        <v>59</v>
      </c>
      <c r="J25" s="5" t="s">
        <v>13</v>
      </c>
    </row>
    <row r="26" spans="1:10" ht="15" x14ac:dyDescent="0.3">
      <c r="A26" s="3" t="s">
        <v>58</v>
      </c>
      <c r="B26" s="3" t="s">
        <v>56</v>
      </c>
      <c r="C26" s="4">
        <v>-7.7</v>
      </c>
      <c r="D26" s="3" t="s">
        <v>37</v>
      </c>
      <c r="E26" s="4">
        <v>0.48</v>
      </c>
      <c r="F26" s="3" t="s">
        <v>38</v>
      </c>
      <c r="G26" s="4"/>
      <c r="H26" s="3" t="s">
        <v>21</v>
      </c>
      <c r="I26" s="3" t="s">
        <v>39</v>
      </c>
      <c r="J26" s="3" t="s">
        <v>47</v>
      </c>
    </row>
    <row r="27" spans="1:10" ht="15" x14ac:dyDescent="0.3">
      <c r="A27" s="3" t="s">
        <v>58</v>
      </c>
      <c r="B27" s="3" t="s">
        <v>56</v>
      </c>
      <c r="C27" s="4">
        <v>-7.7</v>
      </c>
      <c r="D27" s="3" t="s">
        <v>37</v>
      </c>
      <c r="E27" s="4">
        <v>0.61</v>
      </c>
      <c r="F27" s="3" t="s">
        <v>38</v>
      </c>
      <c r="G27" s="4"/>
      <c r="H27" s="3" t="s">
        <v>21</v>
      </c>
      <c r="I27" s="3" t="s">
        <v>39</v>
      </c>
      <c r="J27" s="3" t="s">
        <v>47</v>
      </c>
    </row>
    <row r="28" spans="1:10" ht="15" x14ac:dyDescent="0.3">
      <c r="A28" s="3" t="s">
        <v>58</v>
      </c>
      <c r="B28" s="3" t="s">
        <v>63</v>
      </c>
      <c r="C28" s="4">
        <v>-8.02</v>
      </c>
      <c r="D28" s="3" t="s">
        <v>38</v>
      </c>
      <c r="E28" s="4">
        <v>0.43</v>
      </c>
      <c r="F28" s="3" t="s">
        <v>38</v>
      </c>
      <c r="G28" s="4"/>
      <c r="H28" s="3" t="s">
        <v>25</v>
      </c>
      <c r="I28" s="3" t="s">
        <v>59</v>
      </c>
      <c r="J28" s="3" t="s">
        <v>47</v>
      </c>
    </row>
    <row r="29" spans="1:10" ht="15" x14ac:dyDescent="0.3">
      <c r="A29" s="3" t="s">
        <v>58</v>
      </c>
      <c r="B29" s="3" t="s">
        <v>64</v>
      </c>
      <c r="C29" s="4">
        <v>-8.11</v>
      </c>
      <c r="D29" s="3" t="s">
        <v>38</v>
      </c>
      <c r="E29" s="4">
        <v>0.43</v>
      </c>
      <c r="F29" s="3" t="s">
        <v>38</v>
      </c>
      <c r="G29" s="4"/>
      <c r="H29" s="3" t="s">
        <v>25</v>
      </c>
      <c r="I29" s="3" t="s">
        <v>59</v>
      </c>
      <c r="J29" s="3" t="s">
        <v>47</v>
      </c>
    </row>
    <row r="30" spans="1:10" ht="15" x14ac:dyDescent="0.3">
      <c r="A30" s="3" t="s">
        <v>65</v>
      </c>
      <c r="B30" s="3" t="s">
        <v>56</v>
      </c>
      <c r="C30" s="4">
        <v>4.157</v>
      </c>
      <c r="D30" s="3" t="s">
        <v>66</v>
      </c>
      <c r="E30" s="4">
        <v>0.48</v>
      </c>
      <c r="F30" s="3" t="s">
        <v>38</v>
      </c>
      <c r="G30" s="4"/>
      <c r="H30" s="3" t="s">
        <v>23</v>
      </c>
      <c r="I30" s="3" t="s">
        <v>39</v>
      </c>
      <c r="J30" s="3" t="s">
        <v>47</v>
      </c>
    </row>
    <row r="31" spans="1:10" ht="15" x14ac:dyDescent="0.3">
      <c r="A31" s="3" t="s">
        <v>65</v>
      </c>
      <c r="B31" s="3" t="s">
        <v>57</v>
      </c>
      <c r="C31" s="4">
        <v>3.883</v>
      </c>
      <c r="D31" s="3" t="s">
        <v>66</v>
      </c>
      <c r="E31" s="4">
        <v>0.48</v>
      </c>
      <c r="F31" s="3" t="s">
        <v>38</v>
      </c>
      <c r="G31" s="4"/>
      <c r="H31" s="3" t="s">
        <v>23</v>
      </c>
      <c r="I31" s="3" t="s">
        <v>39</v>
      </c>
      <c r="J31" s="3" t="s">
        <v>47</v>
      </c>
    </row>
    <row r="32" spans="1:10" ht="15" x14ac:dyDescent="0.3">
      <c r="A32" s="3" t="s">
        <v>65</v>
      </c>
      <c r="B32" s="3" t="s">
        <v>67</v>
      </c>
      <c r="C32" s="4">
        <v>3.5609999999999999</v>
      </c>
      <c r="D32" s="3" t="s">
        <v>66</v>
      </c>
      <c r="E32" s="4">
        <v>0.41</v>
      </c>
      <c r="F32" s="3" t="s">
        <v>38</v>
      </c>
      <c r="G32" s="4"/>
      <c r="H32" s="3" t="s">
        <v>23</v>
      </c>
      <c r="I32" s="3" t="s">
        <v>39</v>
      </c>
      <c r="J32" s="3" t="s">
        <v>47</v>
      </c>
    </row>
    <row r="33" spans="1:10" ht="15" x14ac:dyDescent="0.3">
      <c r="A33" s="3" t="s">
        <v>65</v>
      </c>
      <c r="B33" s="3" t="s">
        <v>68</v>
      </c>
      <c r="C33" s="4">
        <v>3.7090000000000001</v>
      </c>
      <c r="D33" s="3" t="s">
        <v>69</v>
      </c>
      <c r="E33" s="4">
        <v>0.45</v>
      </c>
      <c r="F33" s="3" t="s">
        <v>38</v>
      </c>
      <c r="G33" s="4"/>
      <c r="H33" s="3" t="s">
        <v>23</v>
      </c>
      <c r="I33" s="3" t="s">
        <v>39</v>
      </c>
      <c r="J33" s="3" t="s">
        <v>47</v>
      </c>
    </row>
    <row r="34" spans="1:10" ht="15" x14ac:dyDescent="0.3">
      <c r="A34" s="3" t="s">
        <v>70</v>
      </c>
      <c r="B34" s="3" t="s">
        <v>45</v>
      </c>
      <c r="C34" s="4">
        <v>-7.7</v>
      </c>
      <c r="D34" s="3" t="s">
        <v>37</v>
      </c>
      <c r="E34" s="4">
        <v>4.7</v>
      </c>
      <c r="F34" s="3" t="s">
        <v>38</v>
      </c>
      <c r="G34" s="4"/>
      <c r="H34" s="3" t="s">
        <v>21</v>
      </c>
      <c r="I34" s="3" t="s">
        <v>39</v>
      </c>
      <c r="J34" s="3" t="s">
        <v>47</v>
      </c>
    </row>
    <row r="35" spans="1:10" ht="15" x14ac:dyDescent="0.3">
      <c r="A35" s="3" t="s">
        <v>70</v>
      </c>
      <c r="B35" s="3" t="s">
        <v>60</v>
      </c>
      <c r="C35" s="4">
        <v>-7.490797477668897</v>
      </c>
      <c r="D35" s="3" t="s">
        <v>61</v>
      </c>
      <c r="E35" s="4">
        <v>0.55300000000000005</v>
      </c>
      <c r="F35" s="3" t="s">
        <v>62</v>
      </c>
      <c r="G35" s="4"/>
      <c r="H35" s="3" t="s">
        <v>24</v>
      </c>
      <c r="I35" s="3" t="s">
        <v>59</v>
      </c>
      <c r="J35" s="3" t="s">
        <v>47</v>
      </c>
    </row>
    <row r="36" spans="1:10" ht="15" x14ac:dyDescent="0.3">
      <c r="A36" s="3" t="s">
        <v>70</v>
      </c>
      <c r="B36" s="3" t="s">
        <v>60</v>
      </c>
      <c r="C36" s="4">
        <v>-5.9318141382538387</v>
      </c>
      <c r="D36" s="3" t="s">
        <v>61</v>
      </c>
      <c r="E36" s="4">
        <v>0.89900000000000002</v>
      </c>
      <c r="F36" s="3" t="s">
        <v>62</v>
      </c>
      <c r="G36" s="4"/>
      <c r="H36" s="3" t="s">
        <v>24</v>
      </c>
      <c r="I36" s="3" t="s">
        <v>59</v>
      </c>
      <c r="J36" s="3" t="s">
        <v>47</v>
      </c>
    </row>
    <row r="37" spans="1:10" ht="15" x14ac:dyDescent="0.3">
      <c r="A37" s="3" t="s">
        <v>70</v>
      </c>
      <c r="B37" s="3" t="s">
        <v>56</v>
      </c>
      <c r="C37" s="4">
        <v>-7.7</v>
      </c>
      <c r="D37" s="3" t="s">
        <v>37</v>
      </c>
      <c r="E37" s="4">
        <v>0.47</v>
      </c>
      <c r="F37" s="3" t="s">
        <v>38</v>
      </c>
      <c r="G37" s="4"/>
      <c r="H37" s="3" t="s">
        <v>21</v>
      </c>
      <c r="I37" s="3" t="s">
        <v>39</v>
      </c>
      <c r="J37" s="3" t="s">
        <v>47</v>
      </c>
    </row>
    <row r="38" spans="1:10" ht="15" x14ac:dyDescent="0.3">
      <c r="A38" s="3" t="s">
        <v>70</v>
      </c>
      <c r="B38" s="3" t="s">
        <v>56</v>
      </c>
      <c r="C38" s="4">
        <v>-7.7</v>
      </c>
      <c r="D38" s="3" t="s">
        <v>37</v>
      </c>
      <c r="E38" s="4">
        <v>0.61</v>
      </c>
      <c r="F38" s="3" t="s">
        <v>38</v>
      </c>
      <c r="G38" s="4"/>
      <c r="H38" s="3" t="s">
        <v>21</v>
      </c>
      <c r="I38" s="3" t="s">
        <v>39</v>
      </c>
      <c r="J38" s="3" t="s">
        <v>47</v>
      </c>
    </row>
    <row r="39" spans="1:10" ht="15" x14ac:dyDescent="0.3">
      <c r="A39" s="3" t="s">
        <v>70</v>
      </c>
      <c r="B39" s="3" t="s">
        <v>63</v>
      </c>
      <c r="C39" s="4">
        <v>-7.7</v>
      </c>
      <c r="D39" s="3" t="s">
        <v>37</v>
      </c>
      <c r="E39" s="4">
        <v>0.5</v>
      </c>
      <c r="F39" s="3" t="s">
        <v>38</v>
      </c>
      <c r="G39" s="4"/>
      <c r="H39" s="3" t="s">
        <v>21</v>
      </c>
      <c r="I39" s="3" t="s">
        <v>39</v>
      </c>
      <c r="J39" s="3" t="s">
        <v>47</v>
      </c>
    </row>
    <row r="40" spans="1:10" ht="15" x14ac:dyDescent="0.3">
      <c r="A40" s="3" t="s">
        <v>70</v>
      </c>
      <c r="B40" s="3" t="s">
        <v>63</v>
      </c>
      <c r="C40" s="4">
        <v>-7.7</v>
      </c>
      <c r="D40" s="3" t="s">
        <v>37</v>
      </c>
      <c r="E40" s="4">
        <v>0.62</v>
      </c>
      <c r="F40" s="3" t="s">
        <v>38</v>
      </c>
      <c r="G40" s="4"/>
      <c r="H40" s="3" t="s">
        <v>21</v>
      </c>
      <c r="I40" s="3" t="s">
        <v>39</v>
      </c>
      <c r="J40" s="3" t="s">
        <v>47</v>
      </c>
    </row>
    <row r="41" spans="1:10" ht="15" x14ac:dyDescent="0.3">
      <c r="A41" s="3" t="s">
        <v>70</v>
      </c>
      <c r="B41" s="3" t="s">
        <v>64</v>
      </c>
      <c r="C41" s="4">
        <v>-7.7</v>
      </c>
      <c r="D41" s="3" t="s">
        <v>37</v>
      </c>
      <c r="E41" s="4">
        <v>0.41</v>
      </c>
      <c r="F41" s="3" t="s">
        <v>38</v>
      </c>
      <c r="G41" s="4"/>
      <c r="H41" s="3" t="s">
        <v>21</v>
      </c>
      <c r="I41" s="3" t="s">
        <v>39</v>
      </c>
      <c r="J41" s="3" t="s">
        <v>47</v>
      </c>
    </row>
    <row r="42" spans="1:10" ht="15" x14ac:dyDescent="0.3">
      <c r="A42" s="3" t="s">
        <v>71</v>
      </c>
      <c r="B42" s="3" t="s">
        <v>60</v>
      </c>
      <c r="C42" s="4">
        <v>-7.3882766919926581</v>
      </c>
      <c r="D42" s="3" t="s">
        <v>61</v>
      </c>
      <c r="E42" s="4">
        <v>0.58199999999999996</v>
      </c>
      <c r="F42" s="3" t="s">
        <v>62</v>
      </c>
      <c r="G42" s="4"/>
      <c r="H42" s="3" t="s">
        <v>24</v>
      </c>
      <c r="I42" s="3" t="s">
        <v>59</v>
      </c>
      <c r="J42" s="3" t="s">
        <v>47</v>
      </c>
    </row>
    <row r="43" spans="1:10" ht="15" x14ac:dyDescent="0.3">
      <c r="A43" s="3" t="s">
        <v>71</v>
      </c>
      <c r="B43" s="3" t="s">
        <v>60</v>
      </c>
      <c r="C43" s="4">
        <v>-5.0996328713435286</v>
      </c>
      <c r="D43" s="3" t="s">
        <v>61</v>
      </c>
      <c r="E43" s="4">
        <v>1.081</v>
      </c>
      <c r="F43" s="3" t="s">
        <v>62</v>
      </c>
      <c r="G43" s="4"/>
      <c r="H43" s="3" t="s">
        <v>24</v>
      </c>
      <c r="I43" s="3" t="s">
        <v>59</v>
      </c>
      <c r="J43" s="3" t="s">
        <v>47</v>
      </c>
    </row>
    <row r="44" spans="1:10" ht="15" x14ac:dyDescent="0.3">
      <c r="A44" s="5" t="s">
        <v>72</v>
      </c>
      <c r="B44" s="5" t="s">
        <v>56</v>
      </c>
      <c r="C44" s="6">
        <v>-7.7</v>
      </c>
      <c r="D44" s="5" t="s">
        <v>37</v>
      </c>
      <c r="E44" s="6">
        <v>0.56000000000000005</v>
      </c>
      <c r="F44" s="5" t="s">
        <v>38</v>
      </c>
      <c r="G44" s="6"/>
      <c r="H44" s="5" t="s">
        <v>21</v>
      </c>
      <c r="I44" s="5" t="s">
        <v>39</v>
      </c>
      <c r="J44" s="5" t="s">
        <v>14</v>
      </c>
    </row>
    <row r="45" spans="1:10" ht="15" x14ac:dyDescent="0.3">
      <c r="A45" s="5" t="s">
        <v>72</v>
      </c>
      <c r="B45" s="5" t="s">
        <v>57</v>
      </c>
      <c r="C45" s="6">
        <v>-7.7</v>
      </c>
      <c r="D45" s="5" t="s">
        <v>37</v>
      </c>
      <c r="E45" s="6">
        <v>0.54</v>
      </c>
      <c r="F45" s="5" t="s">
        <v>38</v>
      </c>
      <c r="G45" s="6"/>
      <c r="H45" s="5" t="s">
        <v>21</v>
      </c>
      <c r="I45" s="5" t="s">
        <v>39</v>
      </c>
      <c r="J45" s="5" t="s">
        <v>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5"/>
  <sheetViews>
    <sheetView zoomScale="70" zoomScaleNormal="70" workbookViewId="0">
      <selection activeCell="C44" sqref="C44"/>
    </sheetView>
  </sheetViews>
  <sheetFormatPr defaultRowHeight="14.4" x14ac:dyDescent="0.3"/>
  <cols>
    <col min="1" max="1" width="141" customWidth="1"/>
    <col min="2" max="2" width="12" customWidth="1"/>
    <col min="3" max="3" width="32" customWidth="1"/>
    <col min="4" max="4" width="46" customWidth="1"/>
    <col min="5" max="5" width="21" customWidth="1"/>
    <col min="6" max="6" width="40" customWidth="1"/>
    <col min="7" max="7" width="18" customWidth="1"/>
    <col min="8" max="8" width="25" customWidth="1"/>
    <col min="9" max="9" width="54" customWidth="1"/>
    <col min="10" max="10" width="29" customWidth="1"/>
    <col min="11" max="11" width="19" customWidth="1"/>
    <col min="12" max="12" width="24" customWidth="1"/>
    <col min="13" max="14" width="13" customWidth="1"/>
    <col min="15" max="15" width="12" customWidth="1"/>
    <col min="16" max="16" width="40" customWidth="1"/>
    <col min="17" max="17" width="46" customWidth="1"/>
    <col min="18" max="18" width="12" customWidth="1"/>
  </cols>
  <sheetData>
    <row r="1" spans="1:18" ht="15" x14ac:dyDescent="0.3">
      <c r="A1" s="2" t="s">
        <v>16</v>
      </c>
      <c r="B1" s="2" t="s">
        <v>33</v>
      </c>
      <c r="C1" s="2" t="s">
        <v>73</v>
      </c>
      <c r="D1" s="2" t="s">
        <v>26</v>
      </c>
      <c r="E1" s="2" t="s">
        <v>74</v>
      </c>
      <c r="F1" s="2" t="s">
        <v>27</v>
      </c>
      <c r="G1" s="2" t="s">
        <v>32</v>
      </c>
      <c r="H1" s="2" t="s">
        <v>28</v>
      </c>
      <c r="I1" s="2" t="s">
        <v>29</v>
      </c>
      <c r="J1" s="2" t="s">
        <v>30</v>
      </c>
      <c r="K1" s="2" t="s">
        <v>31</v>
      </c>
      <c r="L1" s="2" t="s">
        <v>34</v>
      </c>
      <c r="M1" s="2">
        <v>3</v>
      </c>
      <c r="N1" s="2">
        <v>6</v>
      </c>
      <c r="P1" s="2" t="s">
        <v>75</v>
      </c>
      <c r="Q1" s="2" t="s">
        <v>76</v>
      </c>
      <c r="R1" s="2" t="s">
        <v>11</v>
      </c>
    </row>
    <row r="2" spans="1:18" ht="15" x14ac:dyDescent="0.3">
      <c r="A2" s="5" t="s">
        <v>21</v>
      </c>
      <c r="B2" s="5" t="s">
        <v>39</v>
      </c>
      <c r="C2" s="5" t="s">
        <v>41</v>
      </c>
      <c r="D2" s="5" t="s">
        <v>41</v>
      </c>
      <c r="E2" s="5" t="s">
        <v>36</v>
      </c>
      <c r="F2" s="5" t="s">
        <v>36</v>
      </c>
      <c r="G2" s="6"/>
      <c r="H2" s="6">
        <v>-7.7</v>
      </c>
      <c r="I2" s="5" t="s">
        <v>37</v>
      </c>
      <c r="J2" s="6">
        <v>0.39</v>
      </c>
      <c r="K2" s="5" t="s">
        <v>38</v>
      </c>
      <c r="L2" s="5" t="s">
        <v>13</v>
      </c>
      <c r="M2" s="7"/>
      <c r="N2" s="7"/>
      <c r="P2" s="3" t="s">
        <v>45</v>
      </c>
      <c r="Q2" s="3" t="s">
        <v>44</v>
      </c>
      <c r="R2" s="4">
        <v>1</v>
      </c>
    </row>
    <row r="3" spans="1:18" ht="15" x14ac:dyDescent="0.3">
      <c r="A3" s="5" t="s">
        <v>21</v>
      </c>
      <c r="B3" s="5" t="s">
        <v>39</v>
      </c>
      <c r="C3" s="5" t="s">
        <v>41</v>
      </c>
      <c r="D3" s="5" t="s">
        <v>41</v>
      </c>
      <c r="E3" s="5" t="s">
        <v>36</v>
      </c>
      <c r="F3" s="5" t="s">
        <v>36</v>
      </c>
      <c r="G3" s="6"/>
      <c r="H3" s="6">
        <v>-7.7</v>
      </c>
      <c r="I3" s="5" t="s">
        <v>37</v>
      </c>
      <c r="J3" s="6">
        <v>0.39</v>
      </c>
      <c r="K3" s="5" t="s">
        <v>38</v>
      </c>
      <c r="L3" s="5" t="s">
        <v>13</v>
      </c>
      <c r="M3" s="7"/>
      <c r="N3" s="7"/>
      <c r="P3" s="3" t="s">
        <v>45</v>
      </c>
      <c r="Q3" s="3" t="s">
        <v>51</v>
      </c>
      <c r="R3" s="4">
        <v>1</v>
      </c>
    </row>
    <row r="4" spans="1:18" ht="15" x14ac:dyDescent="0.3">
      <c r="A4" s="3" t="s">
        <v>21</v>
      </c>
      <c r="B4" s="3" t="s">
        <v>39</v>
      </c>
      <c r="C4" s="3" t="s">
        <v>77</v>
      </c>
      <c r="D4" s="3" t="s">
        <v>70</v>
      </c>
      <c r="E4" s="3" t="s">
        <v>64</v>
      </c>
      <c r="F4" s="3" t="s">
        <v>64</v>
      </c>
      <c r="G4" s="4"/>
      <c r="H4" s="4">
        <v>-7.7</v>
      </c>
      <c r="I4" s="3" t="s">
        <v>37</v>
      </c>
      <c r="J4" s="4">
        <v>0.41</v>
      </c>
      <c r="K4" s="3" t="s">
        <v>38</v>
      </c>
      <c r="L4" s="3" t="s">
        <v>47</v>
      </c>
      <c r="M4" s="4">
        <f>H4-J4*3</f>
        <v>-8.93</v>
      </c>
      <c r="N4" s="4">
        <f>H4-J4*6</f>
        <v>-10.16</v>
      </c>
      <c r="P4" s="3" t="s">
        <v>45</v>
      </c>
      <c r="Q4" s="3" t="s">
        <v>58</v>
      </c>
      <c r="R4" s="4">
        <v>3</v>
      </c>
    </row>
    <row r="5" spans="1:18" ht="15" x14ac:dyDescent="0.3">
      <c r="A5" s="3" t="s">
        <v>21</v>
      </c>
      <c r="B5" s="3" t="s">
        <v>39</v>
      </c>
      <c r="C5" s="3" t="s">
        <v>78</v>
      </c>
      <c r="D5" s="3" t="s">
        <v>58</v>
      </c>
      <c r="E5" s="3" t="s">
        <v>45</v>
      </c>
      <c r="F5" s="3" t="s">
        <v>45</v>
      </c>
      <c r="G5" s="4"/>
      <c r="H5" s="4">
        <v>-7.7</v>
      </c>
      <c r="I5" s="3" t="s">
        <v>37</v>
      </c>
      <c r="J5" s="4">
        <v>0.46</v>
      </c>
      <c r="K5" s="3" t="s">
        <v>38</v>
      </c>
      <c r="L5" s="3" t="s">
        <v>47</v>
      </c>
      <c r="M5" s="4">
        <f>H5-J5*3</f>
        <v>-9.08</v>
      </c>
      <c r="N5" s="4">
        <f>H5-J5*6</f>
        <v>-10.46</v>
      </c>
      <c r="P5" s="3" t="s">
        <v>45</v>
      </c>
      <c r="Q5" s="3" t="s">
        <v>70</v>
      </c>
      <c r="R5" s="4">
        <v>1</v>
      </c>
    </row>
    <row r="6" spans="1:18" ht="15" x14ac:dyDescent="0.3">
      <c r="A6" s="3" t="s">
        <v>21</v>
      </c>
      <c r="B6" s="3" t="s">
        <v>39</v>
      </c>
      <c r="C6" s="3" t="s">
        <v>77</v>
      </c>
      <c r="D6" s="3" t="s">
        <v>70</v>
      </c>
      <c r="E6" s="3" t="s">
        <v>45</v>
      </c>
      <c r="F6" s="3" t="s">
        <v>45</v>
      </c>
      <c r="G6" s="4"/>
      <c r="H6" s="4">
        <v>-7.7</v>
      </c>
      <c r="I6" s="3" t="s">
        <v>37</v>
      </c>
      <c r="J6" s="4">
        <v>4.7</v>
      </c>
      <c r="K6" s="3" t="s">
        <v>38</v>
      </c>
      <c r="L6" s="3" t="s">
        <v>47</v>
      </c>
      <c r="M6" s="4">
        <f>H6-J6*3</f>
        <v>-21.8</v>
      </c>
      <c r="N6" s="4">
        <f>H6-J6*6</f>
        <v>-35.900000000000006</v>
      </c>
      <c r="P6" s="3" t="s">
        <v>48</v>
      </c>
      <c r="Q6" s="3" t="s">
        <v>44</v>
      </c>
      <c r="R6" s="4">
        <v>1</v>
      </c>
    </row>
    <row r="7" spans="1:18" ht="15" x14ac:dyDescent="0.3">
      <c r="A7" s="3" t="s">
        <v>21</v>
      </c>
      <c r="B7" s="3" t="s">
        <v>39</v>
      </c>
      <c r="C7" s="3" t="s">
        <v>77</v>
      </c>
      <c r="D7" s="3" t="s">
        <v>70</v>
      </c>
      <c r="E7" s="3" t="s">
        <v>79</v>
      </c>
      <c r="F7" s="3" t="s">
        <v>56</v>
      </c>
      <c r="G7" s="4"/>
      <c r="H7" s="4">
        <v>-7.7</v>
      </c>
      <c r="I7" s="3" t="s">
        <v>37</v>
      </c>
      <c r="J7" s="4">
        <v>0.47</v>
      </c>
      <c r="K7" s="3" t="s">
        <v>38</v>
      </c>
      <c r="L7" s="3" t="s">
        <v>47</v>
      </c>
      <c r="M7" s="4">
        <f>H7-J7*3</f>
        <v>-9.11</v>
      </c>
      <c r="N7" s="4">
        <f>H7-J7*6</f>
        <v>-10.52</v>
      </c>
      <c r="P7" s="3" t="s">
        <v>48</v>
      </c>
      <c r="Q7" s="3" t="s">
        <v>58</v>
      </c>
      <c r="R7" s="4">
        <v>2</v>
      </c>
    </row>
    <row r="8" spans="1:18" ht="15" x14ac:dyDescent="0.3">
      <c r="A8" s="3" t="s">
        <v>21</v>
      </c>
      <c r="B8" s="3" t="s">
        <v>39</v>
      </c>
      <c r="C8" s="3" t="s">
        <v>78</v>
      </c>
      <c r="D8" s="3" t="s">
        <v>58</v>
      </c>
      <c r="E8" s="3" t="s">
        <v>79</v>
      </c>
      <c r="F8" s="3" t="s">
        <v>56</v>
      </c>
      <c r="G8" s="4"/>
      <c r="H8" s="4">
        <v>-7.7</v>
      </c>
      <c r="I8" s="3" t="s">
        <v>37</v>
      </c>
      <c r="J8" s="4">
        <v>0.48</v>
      </c>
      <c r="K8" s="3" t="s">
        <v>38</v>
      </c>
      <c r="L8" s="3" t="s">
        <v>47</v>
      </c>
      <c r="M8" s="4">
        <f>H8-J8*3</f>
        <v>-9.14</v>
      </c>
      <c r="N8" s="4">
        <f>H8-J8*6</f>
        <v>-10.58</v>
      </c>
      <c r="P8" s="3" t="s">
        <v>60</v>
      </c>
      <c r="Q8" s="3" t="s">
        <v>58</v>
      </c>
      <c r="R8" s="4">
        <v>2</v>
      </c>
    </row>
    <row r="9" spans="1:18" ht="15" x14ac:dyDescent="0.3">
      <c r="A9" s="5" t="s">
        <v>21</v>
      </c>
      <c r="B9" s="5" t="s">
        <v>39</v>
      </c>
      <c r="C9" s="5" t="s">
        <v>43</v>
      </c>
      <c r="D9" s="5" t="s">
        <v>43</v>
      </c>
      <c r="E9" s="5" t="s">
        <v>36</v>
      </c>
      <c r="F9" s="5" t="s">
        <v>36</v>
      </c>
      <c r="G9" s="6"/>
      <c r="H9" s="6">
        <v>-7.7</v>
      </c>
      <c r="I9" s="5" t="s">
        <v>37</v>
      </c>
      <c r="J9" s="6">
        <v>0.48</v>
      </c>
      <c r="K9" s="5" t="s">
        <v>38</v>
      </c>
      <c r="L9" s="5" t="s">
        <v>13</v>
      </c>
      <c r="M9" s="7"/>
      <c r="N9" s="7"/>
      <c r="P9" s="3" t="s">
        <v>60</v>
      </c>
      <c r="Q9" s="3" t="s">
        <v>70</v>
      </c>
      <c r="R9" s="4">
        <v>2</v>
      </c>
    </row>
    <row r="10" spans="1:18" ht="15" x14ac:dyDescent="0.3">
      <c r="A10" s="3" t="s">
        <v>21</v>
      </c>
      <c r="B10" s="3" t="s">
        <v>39</v>
      </c>
      <c r="C10" s="3" t="s">
        <v>77</v>
      </c>
      <c r="D10" s="3" t="s">
        <v>70</v>
      </c>
      <c r="E10" s="3" t="s">
        <v>80</v>
      </c>
      <c r="F10" s="3" t="s">
        <v>63</v>
      </c>
      <c r="G10" s="4"/>
      <c r="H10" s="4">
        <v>-7.7</v>
      </c>
      <c r="I10" s="3" t="s">
        <v>37</v>
      </c>
      <c r="J10" s="4">
        <v>0.5</v>
      </c>
      <c r="K10" s="3" t="s">
        <v>38</v>
      </c>
      <c r="L10" s="3" t="s">
        <v>47</v>
      </c>
      <c r="M10" s="4">
        <f>H10-J10*3</f>
        <v>-9.1999999999999993</v>
      </c>
      <c r="N10" s="4">
        <f>H10-J10*6</f>
        <v>-10.7</v>
      </c>
      <c r="P10" s="3" t="s">
        <v>60</v>
      </c>
      <c r="Q10" s="3" t="s">
        <v>71</v>
      </c>
      <c r="R10" s="4">
        <v>2</v>
      </c>
    </row>
    <row r="11" spans="1:18" ht="15" x14ac:dyDescent="0.3">
      <c r="A11" s="3" t="s">
        <v>21</v>
      </c>
      <c r="B11" s="3" t="s">
        <v>39</v>
      </c>
      <c r="C11" s="3" t="s">
        <v>81</v>
      </c>
      <c r="D11" s="3" t="s">
        <v>55</v>
      </c>
      <c r="E11" s="3" t="s">
        <v>82</v>
      </c>
      <c r="F11" s="3" t="s">
        <v>57</v>
      </c>
      <c r="G11" s="4"/>
      <c r="H11" s="4">
        <v>-7.7</v>
      </c>
      <c r="I11" s="3" t="s">
        <v>37</v>
      </c>
      <c r="J11" s="4">
        <v>0.54</v>
      </c>
      <c r="K11" s="3" t="s">
        <v>38</v>
      </c>
      <c r="L11" s="3" t="s">
        <v>47</v>
      </c>
      <c r="M11" s="4">
        <f>H11-J11*3</f>
        <v>-9.32</v>
      </c>
      <c r="N11" s="4">
        <f>H11-J11*6</f>
        <v>-10.940000000000001</v>
      </c>
      <c r="P11" s="3" t="s">
        <v>49</v>
      </c>
      <c r="Q11" s="3" t="s">
        <v>44</v>
      </c>
      <c r="R11" s="4">
        <v>1</v>
      </c>
    </row>
    <row r="12" spans="1:18" ht="15" x14ac:dyDescent="0.3">
      <c r="A12" s="5" t="s">
        <v>21</v>
      </c>
      <c r="B12" s="5" t="s">
        <v>39</v>
      </c>
      <c r="C12" s="5" t="s">
        <v>72</v>
      </c>
      <c r="D12" s="5" t="s">
        <v>72</v>
      </c>
      <c r="E12" s="5" t="s">
        <v>82</v>
      </c>
      <c r="F12" s="5" t="s">
        <v>57</v>
      </c>
      <c r="G12" s="6"/>
      <c r="H12" s="6">
        <v>-7.7</v>
      </c>
      <c r="I12" s="5" t="s">
        <v>37</v>
      </c>
      <c r="J12" s="6">
        <v>0.54</v>
      </c>
      <c r="K12" s="5" t="s">
        <v>38</v>
      </c>
      <c r="L12" s="5" t="s">
        <v>14</v>
      </c>
      <c r="M12" s="7"/>
      <c r="N12" s="7"/>
      <c r="P12" s="3" t="s">
        <v>56</v>
      </c>
      <c r="Q12" s="3" t="s">
        <v>65</v>
      </c>
      <c r="R12" s="4">
        <v>1</v>
      </c>
    </row>
    <row r="13" spans="1:18" ht="15" x14ac:dyDescent="0.3">
      <c r="A13" s="3" t="s">
        <v>21</v>
      </c>
      <c r="B13" s="3" t="s">
        <v>39</v>
      </c>
      <c r="C13" s="3" t="s">
        <v>78</v>
      </c>
      <c r="D13" s="3" t="s">
        <v>58</v>
      </c>
      <c r="E13" s="3" t="s">
        <v>45</v>
      </c>
      <c r="F13" s="3" t="s">
        <v>45</v>
      </c>
      <c r="G13" s="4"/>
      <c r="H13" s="4">
        <v>-7.7</v>
      </c>
      <c r="I13" s="3" t="s">
        <v>37</v>
      </c>
      <c r="J13" s="4">
        <v>0.54</v>
      </c>
      <c r="K13" s="3" t="s">
        <v>38</v>
      </c>
      <c r="L13" s="3" t="s">
        <v>47</v>
      </c>
      <c r="M13" s="4">
        <f>H13-J13*3</f>
        <v>-9.32</v>
      </c>
      <c r="N13" s="4">
        <f>H13-J13*6</f>
        <v>-10.940000000000001</v>
      </c>
      <c r="P13" s="3" t="s">
        <v>56</v>
      </c>
      <c r="Q13" s="3" t="s">
        <v>55</v>
      </c>
      <c r="R13" s="4">
        <v>1</v>
      </c>
    </row>
    <row r="14" spans="1:18" ht="15" x14ac:dyDescent="0.3">
      <c r="A14" s="3" t="s">
        <v>21</v>
      </c>
      <c r="B14" s="3" t="s">
        <v>39</v>
      </c>
      <c r="C14" s="3" t="s">
        <v>81</v>
      </c>
      <c r="D14" s="3" t="s">
        <v>55</v>
      </c>
      <c r="E14" s="3" t="s">
        <v>54</v>
      </c>
      <c r="F14" s="3" t="s">
        <v>54</v>
      </c>
      <c r="G14" s="4"/>
      <c r="H14" s="4">
        <v>-7.7</v>
      </c>
      <c r="I14" s="3" t="s">
        <v>37</v>
      </c>
      <c r="J14" s="4">
        <v>0.55000000000000004</v>
      </c>
      <c r="K14" s="3" t="s">
        <v>38</v>
      </c>
      <c r="L14" s="3" t="s">
        <v>47</v>
      </c>
      <c r="M14" s="4">
        <f>H14-J14*3</f>
        <v>-9.35</v>
      </c>
      <c r="N14" s="4">
        <f>H14-J14*6</f>
        <v>-11</v>
      </c>
      <c r="P14" s="3" t="s">
        <v>56</v>
      </c>
      <c r="Q14" s="3" t="s">
        <v>58</v>
      </c>
      <c r="R14" s="4">
        <v>2</v>
      </c>
    </row>
    <row r="15" spans="1:18" ht="15" x14ac:dyDescent="0.3">
      <c r="A15" s="5" t="s">
        <v>21</v>
      </c>
      <c r="B15" s="5" t="s">
        <v>39</v>
      </c>
      <c r="C15" s="5" t="s">
        <v>72</v>
      </c>
      <c r="D15" s="5" t="s">
        <v>72</v>
      </c>
      <c r="E15" s="5" t="s">
        <v>79</v>
      </c>
      <c r="F15" s="5" t="s">
        <v>56</v>
      </c>
      <c r="G15" s="6"/>
      <c r="H15" s="6">
        <v>-7.7</v>
      </c>
      <c r="I15" s="5" t="s">
        <v>37</v>
      </c>
      <c r="J15" s="6">
        <v>0.56000000000000005</v>
      </c>
      <c r="K15" s="5" t="s">
        <v>38</v>
      </c>
      <c r="L15" s="5" t="s">
        <v>14</v>
      </c>
      <c r="M15" s="7"/>
      <c r="N15" s="7"/>
      <c r="P15" s="3" t="s">
        <v>56</v>
      </c>
      <c r="Q15" s="3" t="s">
        <v>70</v>
      </c>
      <c r="R15" s="4">
        <v>2</v>
      </c>
    </row>
    <row r="16" spans="1:18" ht="15" x14ac:dyDescent="0.3">
      <c r="A16" s="5" t="s">
        <v>21</v>
      </c>
      <c r="B16" s="5" t="s">
        <v>39</v>
      </c>
      <c r="C16" s="5" t="s">
        <v>83</v>
      </c>
      <c r="D16" s="5" t="s">
        <v>40</v>
      </c>
      <c r="E16" s="5" t="s">
        <v>36</v>
      </c>
      <c r="F16" s="5" t="s">
        <v>36</v>
      </c>
      <c r="G16" s="6"/>
      <c r="H16" s="6">
        <v>-7.7</v>
      </c>
      <c r="I16" s="5" t="s">
        <v>37</v>
      </c>
      <c r="J16" s="6">
        <v>0.56999999999999995</v>
      </c>
      <c r="K16" s="5" t="s">
        <v>38</v>
      </c>
      <c r="L16" s="5" t="s">
        <v>13</v>
      </c>
      <c r="M16" s="7"/>
      <c r="N16" s="7"/>
      <c r="P16" s="3" t="s">
        <v>57</v>
      </c>
      <c r="Q16" s="3" t="s">
        <v>65</v>
      </c>
      <c r="R16" s="4">
        <v>1</v>
      </c>
    </row>
    <row r="17" spans="1:18" ht="15" x14ac:dyDescent="0.3">
      <c r="A17" s="3" t="s">
        <v>21</v>
      </c>
      <c r="B17" s="3" t="s">
        <v>39</v>
      </c>
      <c r="C17" s="3" t="s">
        <v>81</v>
      </c>
      <c r="D17" s="3" t="s">
        <v>55</v>
      </c>
      <c r="E17" s="3" t="s">
        <v>79</v>
      </c>
      <c r="F17" s="3" t="s">
        <v>56</v>
      </c>
      <c r="G17" s="4"/>
      <c r="H17" s="4">
        <v>-7.7</v>
      </c>
      <c r="I17" s="3" t="s">
        <v>37</v>
      </c>
      <c r="J17" s="4">
        <v>0.57999999999999996</v>
      </c>
      <c r="K17" s="3" t="s">
        <v>38</v>
      </c>
      <c r="L17" s="3" t="s">
        <v>47</v>
      </c>
      <c r="M17" s="4">
        <f>H17-J17*3</f>
        <v>-9.44</v>
      </c>
      <c r="N17" s="4">
        <f>H17-J17*6</f>
        <v>-11.18</v>
      </c>
      <c r="P17" s="3" t="s">
        <v>57</v>
      </c>
      <c r="Q17" s="3" t="s">
        <v>55</v>
      </c>
      <c r="R17" s="4">
        <v>1</v>
      </c>
    </row>
    <row r="18" spans="1:18" ht="15" x14ac:dyDescent="0.3">
      <c r="A18" s="5" t="s">
        <v>21</v>
      </c>
      <c r="B18" s="5" t="s">
        <v>39</v>
      </c>
      <c r="C18" s="5" t="s">
        <v>35</v>
      </c>
      <c r="D18" s="5" t="s">
        <v>35</v>
      </c>
      <c r="E18" s="5" t="s">
        <v>36</v>
      </c>
      <c r="F18" s="5" t="s">
        <v>36</v>
      </c>
      <c r="G18" s="6"/>
      <c r="H18" s="6">
        <v>-7.7</v>
      </c>
      <c r="I18" s="5" t="s">
        <v>37</v>
      </c>
      <c r="J18" s="6">
        <v>0.57999999999999996</v>
      </c>
      <c r="K18" s="5" t="s">
        <v>38</v>
      </c>
      <c r="L18" s="5" t="s">
        <v>15</v>
      </c>
      <c r="M18" s="7"/>
      <c r="N18" s="7"/>
      <c r="P18" s="3" t="s">
        <v>67</v>
      </c>
      <c r="Q18" s="3" t="s">
        <v>65</v>
      </c>
      <c r="R18" s="4">
        <v>1</v>
      </c>
    </row>
    <row r="19" spans="1:18" ht="15" x14ac:dyDescent="0.3">
      <c r="A19" s="3" t="s">
        <v>21</v>
      </c>
      <c r="B19" s="3" t="s">
        <v>39</v>
      </c>
      <c r="C19" s="3" t="s">
        <v>78</v>
      </c>
      <c r="D19" s="3" t="s">
        <v>58</v>
      </c>
      <c r="E19" s="3" t="s">
        <v>79</v>
      </c>
      <c r="F19" s="3" t="s">
        <v>56</v>
      </c>
      <c r="G19" s="4"/>
      <c r="H19" s="4">
        <v>-7.7</v>
      </c>
      <c r="I19" s="3" t="s">
        <v>37</v>
      </c>
      <c r="J19" s="4">
        <v>0.61</v>
      </c>
      <c r="K19" s="3" t="s">
        <v>38</v>
      </c>
      <c r="L19" s="3" t="s">
        <v>47</v>
      </c>
      <c r="M19" s="4">
        <f>H19-J19*3</f>
        <v>-9.5300000000000011</v>
      </c>
      <c r="N19" s="4">
        <f>H19-J19*6</f>
        <v>-11.36</v>
      </c>
      <c r="P19" s="3" t="s">
        <v>68</v>
      </c>
      <c r="Q19" s="3" t="s">
        <v>65</v>
      </c>
      <c r="R19" s="4">
        <v>1</v>
      </c>
    </row>
    <row r="20" spans="1:18" ht="15" x14ac:dyDescent="0.3">
      <c r="A20" s="3" t="s">
        <v>21</v>
      </c>
      <c r="B20" s="3" t="s">
        <v>39</v>
      </c>
      <c r="C20" s="3" t="s">
        <v>77</v>
      </c>
      <c r="D20" s="3" t="s">
        <v>70</v>
      </c>
      <c r="E20" s="3" t="s">
        <v>79</v>
      </c>
      <c r="F20" s="3" t="s">
        <v>56</v>
      </c>
      <c r="G20" s="4"/>
      <c r="H20" s="4">
        <v>-7.7</v>
      </c>
      <c r="I20" s="3" t="s">
        <v>37</v>
      </c>
      <c r="J20" s="4">
        <v>0.61</v>
      </c>
      <c r="K20" s="3" t="s">
        <v>38</v>
      </c>
      <c r="L20" s="3" t="s">
        <v>47</v>
      </c>
      <c r="M20" s="4">
        <f>H20-J20*3</f>
        <v>-9.5300000000000011</v>
      </c>
      <c r="N20" s="4">
        <f>H20-J20*6</f>
        <v>-11.36</v>
      </c>
      <c r="P20" s="3" t="s">
        <v>63</v>
      </c>
      <c r="Q20" s="3" t="s">
        <v>58</v>
      </c>
      <c r="R20" s="4">
        <v>1</v>
      </c>
    </row>
    <row r="21" spans="1:18" ht="15" x14ac:dyDescent="0.3">
      <c r="A21" s="3" t="s">
        <v>21</v>
      </c>
      <c r="B21" s="3" t="s">
        <v>39</v>
      </c>
      <c r="C21" s="3" t="s">
        <v>77</v>
      </c>
      <c r="D21" s="3" t="s">
        <v>70</v>
      </c>
      <c r="E21" s="3" t="s">
        <v>80</v>
      </c>
      <c r="F21" s="3" t="s">
        <v>63</v>
      </c>
      <c r="G21" s="4"/>
      <c r="H21" s="4">
        <v>-7.7</v>
      </c>
      <c r="I21" s="3" t="s">
        <v>37</v>
      </c>
      <c r="J21" s="4">
        <v>0.62</v>
      </c>
      <c r="K21" s="3" t="s">
        <v>38</v>
      </c>
      <c r="L21" s="3" t="s">
        <v>47</v>
      </c>
      <c r="M21" s="4">
        <f>H21-J21*3</f>
        <v>-9.56</v>
      </c>
      <c r="N21" s="4">
        <f>H21-J21*6</f>
        <v>-11.42</v>
      </c>
      <c r="P21" s="3" t="s">
        <v>63</v>
      </c>
      <c r="Q21" s="3" t="s">
        <v>70</v>
      </c>
      <c r="R21" s="4">
        <v>2</v>
      </c>
    </row>
    <row r="22" spans="1:18" ht="15" x14ac:dyDescent="0.3">
      <c r="A22" s="5" t="s">
        <v>21</v>
      </c>
      <c r="B22" s="5" t="s">
        <v>39</v>
      </c>
      <c r="C22" s="5" t="s">
        <v>84</v>
      </c>
      <c r="D22" s="5" t="s">
        <v>42</v>
      </c>
      <c r="E22" s="5" t="s">
        <v>36</v>
      </c>
      <c r="F22" s="5" t="s">
        <v>36</v>
      </c>
      <c r="G22" s="6"/>
      <c r="H22" s="6">
        <v>-7.7</v>
      </c>
      <c r="I22" s="5" t="s">
        <v>37</v>
      </c>
      <c r="J22" s="6">
        <v>0.71</v>
      </c>
      <c r="K22" s="5" t="s">
        <v>38</v>
      </c>
      <c r="L22" s="5" t="s">
        <v>13</v>
      </c>
      <c r="M22" s="7"/>
      <c r="N22" s="7"/>
      <c r="P22" s="3" t="s">
        <v>64</v>
      </c>
      <c r="Q22" s="3" t="s">
        <v>58</v>
      </c>
      <c r="R22" s="4">
        <v>1</v>
      </c>
    </row>
    <row r="23" spans="1:18" ht="15" x14ac:dyDescent="0.3">
      <c r="A23" s="3" t="s">
        <v>23</v>
      </c>
      <c r="B23" s="3" t="s">
        <v>39</v>
      </c>
      <c r="C23" s="3" t="s">
        <v>85</v>
      </c>
      <c r="D23" s="3" t="s">
        <v>65</v>
      </c>
      <c r="E23" s="3" t="s">
        <v>86</v>
      </c>
      <c r="F23" s="3" t="s">
        <v>57</v>
      </c>
      <c r="G23" s="4"/>
      <c r="H23" s="4">
        <v>3.883</v>
      </c>
      <c r="I23" s="3" t="s">
        <v>66</v>
      </c>
      <c r="J23" s="4">
        <v>0.48</v>
      </c>
      <c r="K23" s="3" t="s">
        <v>38</v>
      </c>
      <c r="L23" s="3" t="s">
        <v>47</v>
      </c>
      <c r="M23" s="4">
        <f t="shared" ref="M23:M37" si="0">H23-J23*3</f>
        <v>2.4430000000000001</v>
      </c>
      <c r="N23" s="4">
        <f t="shared" ref="N23:N37" si="1">H23-J23*6</f>
        <v>1.0030000000000001</v>
      </c>
      <c r="P23" s="3" t="s">
        <v>64</v>
      </c>
      <c r="Q23" s="3" t="s">
        <v>70</v>
      </c>
      <c r="R23" s="4">
        <v>1</v>
      </c>
    </row>
    <row r="24" spans="1:18" ht="15" x14ac:dyDescent="0.3">
      <c r="A24" s="3" t="s">
        <v>23</v>
      </c>
      <c r="B24" s="3" t="s">
        <v>39</v>
      </c>
      <c r="C24" s="3" t="s">
        <v>85</v>
      </c>
      <c r="D24" s="3" t="s">
        <v>65</v>
      </c>
      <c r="E24" s="3" t="s">
        <v>87</v>
      </c>
      <c r="F24" s="3" t="s">
        <v>56</v>
      </c>
      <c r="G24" s="4"/>
      <c r="H24" s="4">
        <v>4.157</v>
      </c>
      <c r="I24" s="3" t="s">
        <v>66</v>
      </c>
      <c r="J24" s="4">
        <v>0.48</v>
      </c>
      <c r="K24" s="3" t="s">
        <v>38</v>
      </c>
      <c r="L24" s="3" t="s">
        <v>47</v>
      </c>
      <c r="M24" s="4">
        <f t="shared" si="0"/>
        <v>2.7170000000000001</v>
      </c>
      <c r="N24" s="4">
        <f t="shared" si="1"/>
        <v>1.2770000000000001</v>
      </c>
      <c r="P24" s="3" t="s">
        <v>54</v>
      </c>
      <c r="Q24" s="3" t="s">
        <v>51</v>
      </c>
      <c r="R24" s="4">
        <v>1</v>
      </c>
    </row>
    <row r="25" spans="1:18" ht="15" x14ac:dyDescent="0.3">
      <c r="A25" s="3" t="s">
        <v>23</v>
      </c>
      <c r="B25" s="3" t="s">
        <v>39</v>
      </c>
      <c r="C25" s="3" t="s">
        <v>85</v>
      </c>
      <c r="D25" s="3" t="s">
        <v>65</v>
      </c>
      <c r="E25" s="3" t="s">
        <v>88</v>
      </c>
      <c r="F25" s="3" t="s">
        <v>68</v>
      </c>
      <c r="G25" s="4"/>
      <c r="H25" s="4">
        <v>3.7090000000000001</v>
      </c>
      <c r="I25" s="3" t="s">
        <v>69</v>
      </c>
      <c r="J25" s="4">
        <v>0.45</v>
      </c>
      <c r="K25" s="3" t="s">
        <v>38</v>
      </c>
      <c r="L25" s="3" t="s">
        <v>47</v>
      </c>
      <c r="M25" s="4">
        <f t="shared" si="0"/>
        <v>2.359</v>
      </c>
      <c r="N25" s="4">
        <f t="shared" si="1"/>
        <v>1.0089999999999999</v>
      </c>
      <c r="P25" s="3" t="s">
        <v>54</v>
      </c>
      <c r="Q25" s="3" t="s">
        <v>55</v>
      </c>
      <c r="R25" s="4">
        <v>1</v>
      </c>
    </row>
    <row r="26" spans="1:18" ht="15" x14ac:dyDescent="0.3">
      <c r="A26" s="3" t="s">
        <v>23</v>
      </c>
      <c r="B26" s="3" t="s">
        <v>39</v>
      </c>
      <c r="C26" s="3" t="s">
        <v>85</v>
      </c>
      <c r="D26" s="3" t="s">
        <v>65</v>
      </c>
      <c r="E26" s="3" t="s">
        <v>89</v>
      </c>
      <c r="F26" s="3" t="s">
        <v>67</v>
      </c>
      <c r="G26" s="4"/>
      <c r="H26" s="4">
        <v>3.5609999999999999</v>
      </c>
      <c r="I26" s="3" t="s">
        <v>66</v>
      </c>
      <c r="J26" s="4">
        <v>0.41</v>
      </c>
      <c r="K26" s="3" t="s">
        <v>38</v>
      </c>
      <c r="L26" s="3" t="s">
        <v>47</v>
      </c>
      <c r="M26" s="4">
        <f t="shared" si="0"/>
        <v>2.331</v>
      </c>
      <c r="N26" s="4">
        <f t="shared" si="1"/>
        <v>1.101</v>
      </c>
    </row>
    <row r="27" spans="1:18" ht="15" x14ac:dyDescent="0.3">
      <c r="A27" s="3" t="s">
        <v>24</v>
      </c>
      <c r="B27" s="3" t="s">
        <v>59</v>
      </c>
      <c r="C27" s="3" t="s">
        <v>77</v>
      </c>
      <c r="D27" s="3" t="s">
        <v>70</v>
      </c>
      <c r="E27" s="3" t="s">
        <v>90</v>
      </c>
      <c r="F27" s="3" t="s">
        <v>60</v>
      </c>
      <c r="G27" s="4"/>
      <c r="H27" s="4">
        <v>-7.490797477668897</v>
      </c>
      <c r="I27" s="3" t="s">
        <v>61</v>
      </c>
      <c r="J27" s="4">
        <v>0.55300000000000005</v>
      </c>
      <c r="K27" s="3" t="s">
        <v>62</v>
      </c>
      <c r="L27" s="3" t="s">
        <v>47</v>
      </c>
      <c r="M27" s="4">
        <f t="shared" si="0"/>
        <v>-9.1497974776688977</v>
      </c>
      <c r="N27" s="4">
        <f t="shared" si="1"/>
        <v>-10.808797477668897</v>
      </c>
    </row>
    <row r="28" spans="1:18" ht="15" x14ac:dyDescent="0.3">
      <c r="A28" s="3" t="s">
        <v>24</v>
      </c>
      <c r="B28" s="3" t="s">
        <v>59</v>
      </c>
      <c r="C28" s="3" t="s">
        <v>77</v>
      </c>
      <c r="D28" s="3" t="s">
        <v>70</v>
      </c>
      <c r="E28" s="3" t="s">
        <v>90</v>
      </c>
      <c r="F28" s="3" t="s">
        <v>60</v>
      </c>
      <c r="G28" s="4"/>
      <c r="H28" s="4">
        <v>-5.9318141382538387</v>
      </c>
      <c r="I28" s="3" t="s">
        <v>61</v>
      </c>
      <c r="J28" s="4">
        <v>0.89900000000000002</v>
      </c>
      <c r="K28" s="3" t="s">
        <v>62</v>
      </c>
      <c r="L28" s="3" t="s">
        <v>47</v>
      </c>
      <c r="M28" s="4">
        <f t="shared" si="0"/>
        <v>-8.6288141382538388</v>
      </c>
      <c r="N28" s="4">
        <f t="shared" si="1"/>
        <v>-11.32581413825384</v>
      </c>
    </row>
    <row r="29" spans="1:18" ht="15" x14ac:dyDescent="0.3">
      <c r="A29" s="3" t="s">
        <v>24</v>
      </c>
      <c r="B29" s="3" t="s">
        <v>59</v>
      </c>
      <c r="C29" s="3" t="s">
        <v>78</v>
      </c>
      <c r="D29" s="3" t="s">
        <v>58</v>
      </c>
      <c r="E29" s="3" t="s">
        <v>90</v>
      </c>
      <c r="F29" s="3" t="s">
        <v>60</v>
      </c>
      <c r="G29" s="4"/>
      <c r="H29" s="4">
        <v>-7.5451551399914898</v>
      </c>
      <c r="I29" s="3" t="s">
        <v>61</v>
      </c>
      <c r="J29" s="4">
        <v>0.53600000000000003</v>
      </c>
      <c r="K29" s="3" t="s">
        <v>62</v>
      </c>
      <c r="L29" s="3" t="s">
        <v>47</v>
      </c>
      <c r="M29" s="4">
        <f t="shared" si="0"/>
        <v>-9.1531551399914903</v>
      </c>
      <c r="N29" s="4">
        <f t="shared" si="1"/>
        <v>-10.761155139991491</v>
      </c>
    </row>
    <row r="30" spans="1:18" ht="15" x14ac:dyDescent="0.3">
      <c r="A30" s="3" t="s">
        <v>24</v>
      </c>
      <c r="B30" s="3" t="s">
        <v>59</v>
      </c>
      <c r="C30" s="3" t="s">
        <v>78</v>
      </c>
      <c r="D30" s="3" t="s">
        <v>58</v>
      </c>
      <c r="E30" s="3" t="s">
        <v>90</v>
      </c>
      <c r="F30" s="3" t="s">
        <v>60</v>
      </c>
      <c r="G30" s="4"/>
      <c r="H30" s="4">
        <v>-5.8728952016351927</v>
      </c>
      <c r="I30" s="3" t="s">
        <v>61</v>
      </c>
      <c r="J30" s="4">
        <v>0.90700000000000003</v>
      </c>
      <c r="K30" s="3" t="s">
        <v>62</v>
      </c>
      <c r="L30" s="3" t="s">
        <v>47</v>
      </c>
      <c r="M30" s="4">
        <f t="shared" si="0"/>
        <v>-8.5938952016351919</v>
      </c>
      <c r="N30" s="4">
        <f t="shared" si="1"/>
        <v>-11.314895201635192</v>
      </c>
    </row>
    <row r="31" spans="1:18" ht="15" x14ac:dyDescent="0.3">
      <c r="A31" s="3" t="s">
        <v>24</v>
      </c>
      <c r="B31" s="3" t="s">
        <v>59</v>
      </c>
      <c r="C31" s="3" t="s">
        <v>91</v>
      </c>
      <c r="D31" s="3" t="s">
        <v>71</v>
      </c>
      <c r="E31" s="3" t="s">
        <v>90</v>
      </c>
      <c r="F31" s="3" t="s">
        <v>60</v>
      </c>
      <c r="G31" s="4"/>
      <c r="H31" s="4">
        <v>-7.3882766919926581</v>
      </c>
      <c r="I31" s="3" t="s">
        <v>61</v>
      </c>
      <c r="J31" s="4">
        <v>0.58199999999999996</v>
      </c>
      <c r="K31" s="3" t="s">
        <v>62</v>
      </c>
      <c r="L31" s="3" t="s">
        <v>47</v>
      </c>
      <c r="M31" s="4">
        <f t="shared" si="0"/>
        <v>-9.1342766919926586</v>
      </c>
      <c r="N31" s="4">
        <f t="shared" si="1"/>
        <v>-10.880276691992659</v>
      </c>
    </row>
    <row r="32" spans="1:18" ht="15" x14ac:dyDescent="0.3">
      <c r="A32" s="3" t="s">
        <v>24</v>
      </c>
      <c r="B32" s="3" t="s">
        <v>59</v>
      </c>
      <c r="C32" s="3" t="s">
        <v>91</v>
      </c>
      <c r="D32" s="3" t="s">
        <v>71</v>
      </c>
      <c r="E32" s="3" t="s">
        <v>90</v>
      </c>
      <c r="F32" s="3" t="s">
        <v>60</v>
      </c>
      <c r="G32" s="4"/>
      <c r="H32" s="4">
        <v>-5.0996328713435286</v>
      </c>
      <c r="I32" s="3" t="s">
        <v>61</v>
      </c>
      <c r="J32" s="4">
        <v>1.081</v>
      </c>
      <c r="K32" s="3" t="s">
        <v>62</v>
      </c>
      <c r="L32" s="3" t="s">
        <v>47</v>
      </c>
      <c r="M32" s="4">
        <f t="shared" si="0"/>
        <v>-8.3426328713435289</v>
      </c>
      <c r="N32" s="4">
        <f t="shared" si="1"/>
        <v>-11.585632871343527</v>
      </c>
    </row>
    <row r="33" spans="1:14" ht="15" x14ac:dyDescent="0.3">
      <c r="A33" s="3" t="s">
        <v>25</v>
      </c>
      <c r="B33" s="3" t="s">
        <v>59</v>
      </c>
      <c r="C33" s="3" t="s">
        <v>92</v>
      </c>
      <c r="D33" s="3" t="s">
        <v>58</v>
      </c>
      <c r="E33" s="3" t="s">
        <v>93</v>
      </c>
      <c r="F33" s="3" t="s">
        <v>64</v>
      </c>
      <c r="G33" s="4"/>
      <c r="H33" s="4">
        <v>-8.11</v>
      </c>
      <c r="I33" s="3" t="s">
        <v>38</v>
      </c>
      <c r="J33" s="4">
        <v>0.43</v>
      </c>
      <c r="K33" s="3" t="s">
        <v>38</v>
      </c>
      <c r="L33" s="3" t="s">
        <v>47</v>
      </c>
      <c r="M33" s="4">
        <f t="shared" si="0"/>
        <v>-9.3999999999999986</v>
      </c>
      <c r="N33" s="4">
        <f t="shared" si="1"/>
        <v>-10.69</v>
      </c>
    </row>
    <row r="34" spans="1:14" ht="15" x14ac:dyDescent="0.3">
      <c r="A34" s="3" t="s">
        <v>25</v>
      </c>
      <c r="B34" s="3" t="s">
        <v>59</v>
      </c>
      <c r="C34" s="3" t="s">
        <v>92</v>
      </c>
      <c r="D34" s="3" t="s">
        <v>58</v>
      </c>
      <c r="E34" s="3" t="s">
        <v>94</v>
      </c>
      <c r="F34" s="3" t="s">
        <v>48</v>
      </c>
      <c r="G34" s="4"/>
      <c r="H34" s="4">
        <v>-7.91</v>
      </c>
      <c r="I34" s="3" t="s">
        <v>38</v>
      </c>
      <c r="J34" s="4">
        <v>0.48</v>
      </c>
      <c r="K34" s="3" t="s">
        <v>38</v>
      </c>
      <c r="L34" s="3" t="s">
        <v>47</v>
      </c>
      <c r="M34" s="4">
        <f t="shared" si="0"/>
        <v>-9.35</v>
      </c>
      <c r="N34" s="4">
        <f t="shared" si="1"/>
        <v>-10.79</v>
      </c>
    </row>
    <row r="35" spans="1:14" ht="15" x14ac:dyDescent="0.3">
      <c r="A35" s="3" t="s">
        <v>25</v>
      </c>
      <c r="B35" s="3" t="s">
        <v>59</v>
      </c>
      <c r="C35" s="3" t="s">
        <v>92</v>
      </c>
      <c r="D35" s="3" t="s">
        <v>58</v>
      </c>
      <c r="E35" s="3" t="s">
        <v>94</v>
      </c>
      <c r="F35" s="3" t="s">
        <v>48</v>
      </c>
      <c r="G35" s="4"/>
      <c r="H35" s="4">
        <v>-7.74</v>
      </c>
      <c r="I35" s="3" t="s">
        <v>38</v>
      </c>
      <c r="J35" s="4">
        <v>0.44</v>
      </c>
      <c r="K35" s="3" t="s">
        <v>38</v>
      </c>
      <c r="L35" s="3" t="s">
        <v>47</v>
      </c>
      <c r="M35" s="4">
        <f t="shared" si="0"/>
        <v>-9.06</v>
      </c>
      <c r="N35" s="4">
        <f t="shared" si="1"/>
        <v>-10.38</v>
      </c>
    </row>
    <row r="36" spans="1:14" ht="15" x14ac:dyDescent="0.3">
      <c r="A36" s="3" t="s">
        <v>25</v>
      </c>
      <c r="B36" s="3" t="s">
        <v>59</v>
      </c>
      <c r="C36" s="3" t="s">
        <v>92</v>
      </c>
      <c r="D36" s="3" t="s">
        <v>58</v>
      </c>
      <c r="E36" s="3" t="s">
        <v>95</v>
      </c>
      <c r="F36" s="3" t="s">
        <v>45</v>
      </c>
      <c r="G36" s="4"/>
      <c r="H36" s="4">
        <v>-7.74</v>
      </c>
      <c r="I36" s="3" t="s">
        <v>38</v>
      </c>
      <c r="J36" s="4">
        <v>0.44</v>
      </c>
      <c r="K36" s="3" t="s">
        <v>38</v>
      </c>
      <c r="L36" s="3" t="s">
        <v>47</v>
      </c>
      <c r="M36" s="4">
        <f t="shared" si="0"/>
        <v>-9.06</v>
      </c>
      <c r="N36" s="4">
        <f t="shared" si="1"/>
        <v>-10.38</v>
      </c>
    </row>
    <row r="37" spans="1:14" ht="15" x14ac:dyDescent="0.3">
      <c r="A37" s="3" t="s">
        <v>25</v>
      </c>
      <c r="B37" s="3" t="s">
        <v>59</v>
      </c>
      <c r="C37" s="3" t="s">
        <v>92</v>
      </c>
      <c r="D37" s="3" t="s">
        <v>58</v>
      </c>
      <c r="E37" s="3" t="s">
        <v>80</v>
      </c>
      <c r="F37" s="3" t="s">
        <v>63</v>
      </c>
      <c r="G37" s="4"/>
      <c r="H37" s="4">
        <v>-8.02</v>
      </c>
      <c r="I37" s="3" t="s">
        <v>38</v>
      </c>
      <c r="J37" s="4">
        <v>0.43</v>
      </c>
      <c r="K37" s="3" t="s">
        <v>38</v>
      </c>
      <c r="L37" s="3" t="s">
        <v>47</v>
      </c>
      <c r="M37" s="4">
        <f t="shared" si="0"/>
        <v>-9.3099999999999987</v>
      </c>
      <c r="N37" s="4">
        <f t="shared" si="1"/>
        <v>-10.6</v>
      </c>
    </row>
    <row r="38" spans="1:14" ht="15" x14ac:dyDescent="0.3">
      <c r="A38" s="5" t="s">
        <v>25</v>
      </c>
      <c r="B38" s="5" t="s">
        <v>59</v>
      </c>
      <c r="C38" s="5" t="s">
        <v>92</v>
      </c>
      <c r="D38" s="5" t="s">
        <v>58</v>
      </c>
      <c r="E38" s="5" t="s">
        <v>53</v>
      </c>
      <c r="F38" s="5" t="s">
        <v>53</v>
      </c>
      <c r="G38" s="6"/>
      <c r="H38" s="6">
        <v>-8.27</v>
      </c>
      <c r="I38" s="5" t="s">
        <v>38</v>
      </c>
      <c r="J38" s="6">
        <v>0.45</v>
      </c>
      <c r="K38" s="5" t="s">
        <v>38</v>
      </c>
      <c r="L38" s="5" t="s">
        <v>13</v>
      </c>
      <c r="M38" s="7"/>
      <c r="N38" s="7"/>
    </row>
    <row r="39" spans="1:14" ht="15" x14ac:dyDescent="0.3">
      <c r="A39" s="3" t="s">
        <v>25</v>
      </c>
      <c r="B39" s="3" t="s">
        <v>46</v>
      </c>
      <c r="C39" s="3" t="s">
        <v>44</v>
      </c>
      <c r="D39" s="3" t="s">
        <v>44</v>
      </c>
      <c r="E39" s="3" t="s">
        <v>94</v>
      </c>
      <c r="F39" s="3" t="s">
        <v>48</v>
      </c>
      <c r="G39" s="4"/>
      <c r="H39" s="4">
        <v>-7.83</v>
      </c>
      <c r="I39" s="3" t="s">
        <v>38</v>
      </c>
      <c r="J39" s="4">
        <v>0.51</v>
      </c>
      <c r="K39" s="3" t="s">
        <v>38</v>
      </c>
      <c r="L39" s="3" t="s">
        <v>47</v>
      </c>
      <c r="M39" s="4">
        <f>H39-J39*3</f>
        <v>-9.36</v>
      </c>
      <c r="N39" s="4">
        <f>H39-J39*6</f>
        <v>-10.89</v>
      </c>
    </row>
    <row r="40" spans="1:14" ht="15" x14ac:dyDescent="0.3">
      <c r="A40" s="3" t="s">
        <v>25</v>
      </c>
      <c r="B40" s="3" t="s">
        <v>46</v>
      </c>
      <c r="C40" s="3" t="s">
        <v>44</v>
      </c>
      <c r="D40" s="3" t="s">
        <v>44</v>
      </c>
      <c r="E40" s="3" t="s">
        <v>95</v>
      </c>
      <c r="F40" s="3" t="s">
        <v>45</v>
      </c>
      <c r="G40" s="4"/>
      <c r="H40" s="4">
        <v>-7.56</v>
      </c>
      <c r="I40" s="3" t="s">
        <v>38</v>
      </c>
      <c r="J40" s="4">
        <v>0.5</v>
      </c>
      <c r="K40" s="3" t="s">
        <v>38</v>
      </c>
      <c r="L40" s="3" t="s">
        <v>47</v>
      </c>
      <c r="M40" s="4">
        <f>H40-J40*3</f>
        <v>-9.0599999999999987</v>
      </c>
      <c r="N40" s="4">
        <f>H40-J40*6</f>
        <v>-10.559999999999999</v>
      </c>
    </row>
    <row r="41" spans="1:14" ht="15" x14ac:dyDescent="0.3">
      <c r="A41" s="3" t="s">
        <v>25</v>
      </c>
      <c r="B41" s="3" t="s">
        <v>46</v>
      </c>
      <c r="C41" s="3" t="s">
        <v>96</v>
      </c>
      <c r="D41" s="3" t="s">
        <v>44</v>
      </c>
      <c r="E41" s="3" t="s">
        <v>97</v>
      </c>
      <c r="F41" s="3" t="s">
        <v>49</v>
      </c>
      <c r="G41" s="4"/>
      <c r="H41" s="4">
        <v>-7.86</v>
      </c>
      <c r="I41" s="3" t="s">
        <v>38</v>
      </c>
      <c r="J41" s="4">
        <v>0.5</v>
      </c>
      <c r="K41" s="3" t="s">
        <v>38</v>
      </c>
      <c r="L41" s="3" t="s">
        <v>47</v>
      </c>
      <c r="M41" s="4">
        <f>H41-J41*3</f>
        <v>-9.36</v>
      </c>
      <c r="N41" s="4">
        <f>H41-J41*6</f>
        <v>-10.86</v>
      </c>
    </row>
    <row r="42" spans="1:14" ht="15" x14ac:dyDescent="0.3">
      <c r="A42" s="5" t="s">
        <v>25</v>
      </c>
      <c r="B42" s="5" t="s">
        <v>46</v>
      </c>
      <c r="C42" s="5" t="s">
        <v>44</v>
      </c>
      <c r="D42" s="5" t="s">
        <v>44</v>
      </c>
      <c r="E42" s="5" t="s">
        <v>50</v>
      </c>
      <c r="F42" s="5" t="s">
        <v>50</v>
      </c>
      <c r="G42" s="6"/>
      <c r="H42" s="6">
        <v>-8.0500000000000007</v>
      </c>
      <c r="I42" s="5" t="s">
        <v>38</v>
      </c>
      <c r="J42" s="6">
        <v>0.51</v>
      </c>
      <c r="K42" s="5" t="s">
        <v>38</v>
      </c>
      <c r="L42" s="5" t="s">
        <v>13</v>
      </c>
      <c r="M42" s="7"/>
      <c r="N42" s="7"/>
    </row>
    <row r="43" spans="1:14" ht="15" x14ac:dyDescent="0.3">
      <c r="A43" s="3" t="s">
        <v>25</v>
      </c>
      <c r="B43" s="3" t="s">
        <v>52</v>
      </c>
      <c r="C43" s="3" t="s">
        <v>98</v>
      </c>
      <c r="D43" s="3" t="s">
        <v>51</v>
      </c>
      <c r="E43" s="3" t="s">
        <v>99</v>
      </c>
      <c r="F43" s="3" t="s">
        <v>54</v>
      </c>
      <c r="G43" s="4"/>
      <c r="H43" s="4">
        <v>-8.31</v>
      </c>
      <c r="I43" s="3" t="s">
        <v>38</v>
      </c>
      <c r="J43" s="4">
        <v>0.47</v>
      </c>
      <c r="K43" s="3" t="s">
        <v>38</v>
      </c>
      <c r="L43" s="3" t="s">
        <v>47</v>
      </c>
      <c r="M43" s="4">
        <f>H43-J43*3</f>
        <v>-9.7200000000000006</v>
      </c>
      <c r="N43" s="4">
        <f>H43-J43*6</f>
        <v>-11.13</v>
      </c>
    </row>
    <row r="44" spans="1:14" ht="15" x14ac:dyDescent="0.3">
      <c r="A44" s="3" t="s">
        <v>25</v>
      </c>
      <c r="B44" s="3" t="s">
        <v>52</v>
      </c>
      <c r="C44" s="3" t="s">
        <v>98</v>
      </c>
      <c r="D44" s="3" t="s">
        <v>51</v>
      </c>
      <c r="E44" s="3" t="s">
        <v>95</v>
      </c>
      <c r="F44" s="3" t="s">
        <v>45</v>
      </c>
      <c r="G44" s="4"/>
      <c r="H44" s="4">
        <v>-8.01</v>
      </c>
      <c r="I44" s="3" t="s">
        <v>38</v>
      </c>
      <c r="J44" s="4">
        <v>0.39</v>
      </c>
      <c r="K44" s="3" t="s">
        <v>38</v>
      </c>
      <c r="L44" s="3" t="s">
        <v>47</v>
      </c>
      <c r="M44" s="4">
        <f>H44-J44*3</f>
        <v>-9.18</v>
      </c>
      <c r="N44" s="4">
        <f>H44-J44*6</f>
        <v>-10.35</v>
      </c>
    </row>
    <row r="45" spans="1:14" ht="15" x14ac:dyDescent="0.3">
      <c r="A45" s="5" t="s">
        <v>25</v>
      </c>
      <c r="B45" s="5" t="s">
        <v>52</v>
      </c>
      <c r="C45" s="5" t="s">
        <v>98</v>
      </c>
      <c r="D45" s="5" t="s">
        <v>51</v>
      </c>
      <c r="E45" s="5" t="s">
        <v>53</v>
      </c>
      <c r="F45" s="5" t="s">
        <v>53</v>
      </c>
      <c r="G45" s="6"/>
      <c r="H45" s="6">
        <v>-8.39</v>
      </c>
      <c r="I45" s="5" t="s">
        <v>38</v>
      </c>
      <c r="J45" s="6">
        <v>0.43</v>
      </c>
      <c r="K45" s="5" t="s">
        <v>38</v>
      </c>
      <c r="L45" s="5" t="s">
        <v>13</v>
      </c>
      <c r="M45" s="7"/>
      <c r="N45" s="7"/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"/>
  <sheetViews>
    <sheetView workbookViewId="0"/>
  </sheetViews>
  <sheetFormatPr defaultRowHeight="14.4" x14ac:dyDescent="0.3"/>
  <cols>
    <col min="1" max="1" width="15" customWidth="1"/>
    <col min="2" max="2" width="12" customWidth="1"/>
    <col min="3" max="3" width="21" customWidth="1"/>
    <col min="4" max="4" width="18" customWidth="1"/>
    <col min="5" max="5" width="21" customWidth="1"/>
    <col min="6" max="7" width="18" customWidth="1"/>
    <col min="8" max="8" width="17" customWidth="1"/>
    <col min="9" max="9" width="19" customWidth="1"/>
    <col min="10" max="10" width="12" customWidth="1"/>
    <col min="11" max="11" width="19" customWidth="1"/>
    <col min="12" max="12" width="15" customWidth="1"/>
    <col min="13" max="18" width="12" customWidth="1"/>
  </cols>
  <sheetData>
    <row r="1" spans="1:18" ht="15" x14ac:dyDescent="0.3">
      <c r="A1" s="2" t="s">
        <v>16</v>
      </c>
      <c r="B1" s="2" t="s">
        <v>33</v>
      </c>
      <c r="C1" s="2" t="s">
        <v>73</v>
      </c>
      <c r="D1" s="2" t="s">
        <v>26</v>
      </c>
      <c r="E1" s="2" t="s">
        <v>74</v>
      </c>
      <c r="F1" s="2" t="s">
        <v>27</v>
      </c>
      <c r="G1" s="2" t="s">
        <v>32</v>
      </c>
      <c r="H1" s="2" t="s">
        <v>100</v>
      </c>
      <c r="I1" s="2" t="s">
        <v>101</v>
      </c>
      <c r="J1" s="2" t="s">
        <v>102</v>
      </c>
      <c r="K1" s="2" t="s">
        <v>103</v>
      </c>
      <c r="L1" s="2" t="s">
        <v>34</v>
      </c>
      <c r="M1" s="2">
        <v>3</v>
      </c>
      <c r="N1" s="2">
        <v>6</v>
      </c>
      <c r="P1" s="2" t="s">
        <v>75</v>
      </c>
      <c r="Q1" s="2" t="s">
        <v>76</v>
      </c>
      <c r="R1" s="2" t="s">
        <v>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3"/>
  <sheetViews>
    <sheetView tabSelected="1" workbookViewId="0">
      <selection activeCell="D23" sqref="D23"/>
    </sheetView>
  </sheetViews>
  <sheetFormatPr defaultRowHeight="14.4" x14ac:dyDescent="0.3"/>
  <cols>
    <col min="1" max="1" width="113" customWidth="1"/>
    <col min="2" max="2" width="12" customWidth="1"/>
    <col min="3" max="3" width="15" customWidth="1"/>
    <col min="4" max="4" width="20" customWidth="1"/>
    <col min="5" max="5" width="19" customWidth="1"/>
  </cols>
  <sheetData>
    <row r="1" spans="1:5" ht="15" x14ac:dyDescent="0.3">
      <c r="A1" s="2" t="s">
        <v>16</v>
      </c>
      <c r="B1" s="2" t="s">
        <v>33</v>
      </c>
      <c r="C1" s="2" t="s">
        <v>104</v>
      </c>
      <c r="D1" s="2" t="s">
        <v>105</v>
      </c>
      <c r="E1" s="2" t="s">
        <v>106</v>
      </c>
    </row>
    <row r="2" spans="1:5" ht="15" x14ac:dyDescent="0.3">
      <c r="A2" s="5" t="s">
        <v>21</v>
      </c>
      <c r="B2" s="5" t="s">
        <v>39</v>
      </c>
      <c r="C2" s="5" t="s">
        <v>13</v>
      </c>
      <c r="D2" s="5" t="s">
        <v>36</v>
      </c>
      <c r="E2" s="5" t="s">
        <v>12</v>
      </c>
    </row>
    <row r="3" spans="1:5" ht="15" x14ac:dyDescent="0.3">
      <c r="A3" s="5" t="s">
        <v>21</v>
      </c>
      <c r="B3" s="5" t="s">
        <v>39</v>
      </c>
      <c r="C3" s="5" t="s">
        <v>13</v>
      </c>
      <c r="D3" s="5" t="s">
        <v>36</v>
      </c>
      <c r="E3" s="5" t="s">
        <v>12</v>
      </c>
    </row>
    <row r="4" spans="1:5" ht="15" x14ac:dyDescent="0.3">
      <c r="A4" s="5" t="s">
        <v>21</v>
      </c>
      <c r="B4" s="5" t="s">
        <v>39</v>
      </c>
      <c r="C4" s="5" t="s">
        <v>13</v>
      </c>
      <c r="D4" s="5" t="s">
        <v>36</v>
      </c>
      <c r="E4" s="5" t="s">
        <v>12</v>
      </c>
    </row>
    <row r="5" spans="1:5" ht="15" x14ac:dyDescent="0.3">
      <c r="A5" s="5" t="s">
        <v>21</v>
      </c>
      <c r="B5" s="5" t="s">
        <v>39</v>
      </c>
      <c r="C5" s="5" t="s">
        <v>14</v>
      </c>
      <c r="D5" s="5" t="s">
        <v>72</v>
      </c>
      <c r="E5" s="5" t="s">
        <v>12</v>
      </c>
    </row>
    <row r="6" spans="1:5" ht="15" x14ac:dyDescent="0.3">
      <c r="A6" s="5" t="s">
        <v>21</v>
      </c>
      <c r="B6" s="5" t="s">
        <v>39</v>
      </c>
      <c r="C6" s="5" t="s">
        <v>14</v>
      </c>
      <c r="D6" s="5" t="s">
        <v>72</v>
      </c>
      <c r="E6" s="5" t="s">
        <v>12</v>
      </c>
    </row>
    <row r="7" spans="1:5" ht="15" x14ac:dyDescent="0.3">
      <c r="A7" s="5" t="s">
        <v>21</v>
      </c>
      <c r="B7" s="5" t="s">
        <v>39</v>
      </c>
      <c r="C7" s="5" t="s">
        <v>13</v>
      </c>
      <c r="D7" s="5" t="s">
        <v>36</v>
      </c>
      <c r="E7" s="5" t="s">
        <v>12</v>
      </c>
    </row>
    <row r="8" spans="1:5" ht="15" x14ac:dyDescent="0.3">
      <c r="A8" s="5" t="s">
        <v>21</v>
      </c>
      <c r="B8" s="5" t="s">
        <v>39</v>
      </c>
      <c r="C8" s="5" t="s">
        <v>14</v>
      </c>
      <c r="D8" s="5" t="s">
        <v>35</v>
      </c>
      <c r="E8" s="5" t="s">
        <v>12</v>
      </c>
    </row>
    <row r="9" spans="1:5" ht="15" x14ac:dyDescent="0.3">
      <c r="A9" s="5" t="s">
        <v>21</v>
      </c>
      <c r="B9" s="5" t="s">
        <v>39</v>
      </c>
      <c r="C9" s="5" t="s">
        <v>13</v>
      </c>
      <c r="D9" s="5" t="s">
        <v>36</v>
      </c>
      <c r="E9" s="5" t="s">
        <v>12</v>
      </c>
    </row>
    <row r="10" spans="1:5" ht="15" x14ac:dyDescent="0.3">
      <c r="A10" s="5" t="s">
        <v>21</v>
      </c>
      <c r="B10" s="5" t="s">
        <v>39</v>
      </c>
      <c r="C10" s="5" t="s">
        <v>13</v>
      </c>
      <c r="D10" s="5" t="s">
        <v>36</v>
      </c>
      <c r="E10" s="5" t="s">
        <v>12</v>
      </c>
    </row>
    <row r="11" spans="1:5" ht="15" x14ac:dyDescent="0.3">
      <c r="A11" s="5" t="s">
        <v>25</v>
      </c>
      <c r="B11" s="5" t="s">
        <v>59</v>
      </c>
      <c r="C11" s="5" t="s">
        <v>13</v>
      </c>
      <c r="D11" s="5" t="s">
        <v>53</v>
      </c>
      <c r="E11" s="5" t="s">
        <v>12</v>
      </c>
    </row>
    <row r="12" spans="1:5" ht="15" x14ac:dyDescent="0.3">
      <c r="A12" s="5" t="s">
        <v>25</v>
      </c>
      <c r="B12" s="5" t="s">
        <v>46</v>
      </c>
      <c r="C12" s="5" t="s">
        <v>13</v>
      </c>
      <c r="D12" s="5" t="s">
        <v>50</v>
      </c>
      <c r="E12" s="5" t="s">
        <v>12</v>
      </c>
    </row>
    <row r="13" spans="1:5" ht="15" x14ac:dyDescent="0.3">
      <c r="A13" s="5" t="s">
        <v>25</v>
      </c>
      <c r="B13" s="5" t="s">
        <v>52</v>
      </c>
      <c r="C13" s="5" t="s">
        <v>13</v>
      </c>
      <c r="D13" s="5" t="s">
        <v>53</v>
      </c>
      <c r="E13" s="5" t="s">
        <v>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Papers</vt:lpstr>
      <vt:lpstr>Polymers</vt:lpstr>
      <vt:lpstr>Flory</vt:lpstr>
      <vt:lpstr>Mark-Houwink</vt:lpstr>
      <vt:lpstr>Failures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Henry Varley</cp:lastModifiedBy>
  <dcterms:created xsi:type="dcterms:W3CDTF">2026-07-20T15:51:03Z</dcterms:created>
  <dcterms:modified xsi:type="dcterms:W3CDTF">2026-07-20T15:56:35Z</dcterms:modified>
</cp:coreProperties>
</file>