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1F497D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(Interactive log-log Plot)</a:t>
            </a:r>
          </a:p>
        </rich>
      </tx>
    </title>
    <plotArea>
      <lineChart>
        <grouping val="standard"/>
        <ser>
          <idx val="0"/>
          <order val="0"/>
          <tx>
            <v>dextran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'Polymers'!$F$20:$G$20</f>
            </numRef>
          </val>
        </ser>
        <ser>
          <idx val="1"/>
          <order val="1"/>
          <tx>
            <v>poly(2-vinylpyridine)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'Polymers'!$F$21:$G$21</f>
            </numRef>
          </val>
        </ser>
        <ser>
          <idx val="2"/>
          <order val="2"/>
          <tx>
            <v>poly(2-vinylpyridine) in chloroform-d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'Polymers'!$F$22:$G$22</f>
            </numRef>
          </val>
        </ser>
        <ser>
          <idx val="3"/>
          <order val="3"/>
          <tx>
            <v>poly(2-vinylpyridine) in dichloromethane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'Polymers'!$F$23:$G$23</f>
            </numRef>
          </val>
        </ser>
        <ser>
          <idx val="4"/>
          <order val="4"/>
          <tx>
            <v>poly(2-vinylpyridine)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'Polymers'!$F$24:$G$24</f>
            </numRef>
          </val>
        </ser>
        <ser>
          <idx val="5"/>
          <order val="5"/>
          <tx>
            <v>poly(butyl 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'Polymers'!$F$25:$G$25</f>
            </numRef>
          </val>
        </ser>
        <ser>
          <idx val="6"/>
          <order val="6"/>
          <tx>
            <v>poly(butyl 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'Polymers'!$F$26:$G$26</f>
            </numRef>
          </val>
        </ser>
        <ser>
          <idx val="7"/>
          <order val="7"/>
          <tx>
            <v>poly(ethylene glycol methyl ether methacrylate)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'Polymers'!$F$27:$G$27</f>
            </numRef>
          </val>
        </ser>
        <ser>
          <idx val="8"/>
          <order val="8"/>
          <tx>
            <v>poly(ethylene glycol methyl ether methacrylate) in water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'Polymers'!$F$28:$G$28</f>
            </numRef>
          </val>
        </ser>
        <ser>
          <idx val="9"/>
          <order val="9"/>
          <tx>
            <v>poly(ethylene oxide) in acetone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'Polymers'!$F$29:$G$29</f>
            </numRef>
          </val>
        </ser>
        <ser>
          <idx val="10"/>
          <order val="10"/>
          <tx>
            <v>poly(ethylene oxide) in acetone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'Polymers'!$F$30:$G$30</f>
            </numRef>
          </val>
        </ser>
        <ser>
          <idx val="11"/>
          <order val="11"/>
          <tx>
            <v>poly(ethylene oxide) in acetone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'Polymers'!$F$31:$G$31</f>
            </numRef>
          </val>
        </ser>
        <ser>
          <idx val="12"/>
          <order val="12"/>
          <tx>
            <v>poly(ethylene oxide) in acetonitrile-d3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'Polymers'!$F$32:$G$32</f>
            </numRef>
          </val>
        </ser>
        <ser>
          <idx val="13"/>
          <order val="13"/>
          <tx>
            <v>poly(ethylene oxide) in acetonitrile-d3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'Polymers'!$F$33:$G$33</f>
            </numRef>
          </val>
        </ser>
        <ser>
          <idx val="14"/>
          <order val="14"/>
          <tx>
            <v>poly(ethylene oxide) in acetonitrile-d3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'Polymers'!$F$34:$G$34</f>
            </numRef>
          </val>
        </ser>
        <ser>
          <idx val="15"/>
          <order val="15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'Polymers'!$F$35:$G$35</f>
            </numRef>
          </val>
        </ser>
        <ser>
          <idx val="16"/>
          <order val="16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'Polymers'!$F$36:$G$36</f>
            </numRef>
          </val>
        </ser>
        <ser>
          <idx val="17"/>
          <order val="17"/>
          <tx>
            <v>poly(ethylene oxide) in deuterium oxide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'Polymers'!$F$37:$G$37</f>
            </numRef>
          </val>
        </ser>
        <ser>
          <idx val="18"/>
          <order val="18"/>
          <tx>
            <v>poly(ethylene oxide) in deuterium oxide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'Polymers'!$F$38:$G$38</f>
            </numRef>
          </val>
        </ser>
        <ser>
          <idx val="19"/>
          <order val="19"/>
          <tx>
            <v>poly(ethylene oxide) in deuterium oxide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'Polymers'!$F$39:$G$39</f>
            </numRef>
          </val>
        </ser>
        <ser>
          <idx val="20"/>
          <order val="20"/>
          <tx>
            <v>poly(ethylene oxide) in deuterium 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'Polymers'!$F$40:$G$40</f>
            </numRef>
          </val>
        </ser>
        <ser>
          <idx val="21"/>
          <order val="21"/>
          <tx>
            <v>poly(ethylene oxide) in deuterium 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'Polymers'!$F$41:$G$41</f>
            </numRef>
          </val>
        </ser>
        <ser>
          <idx val="22"/>
          <order val="22"/>
          <tx>
            <v>poly(ethylene oxide) in deuterium oxide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'Polymers'!$F$42:$G$42</f>
            </numRef>
          </val>
        </ser>
        <ser>
          <idx val="23"/>
          <order val="23"/>
          <tx>
            <v>poly(ethylene oxide)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'Polymers'!$F$43:$G$43</f>
            </numRef>
          </val>
        </ser>
        <ser>
          <idx val="24"/>
          <order val="24"/>
          <tx>
            <v>poly(ethylene oxide) in deuterium oxide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'Polymers'!$F$44:$G$44</f>
            </numRef>
          </val>
        </ser>
        <ser>
          <idx val="25"/>
          <order val="25"/>
          <tx>
            <v>poly(ethylene oxide) in deuterium oxide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'Polymers'!$F$45:$G$45</f>
            </numRef>
          </val>
        </ser>
        <ser>
          <idx val="26"/>
          <order val="26"/>
          <tx>
            <v>poly(ethylene oxide) in methanol-d4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'Polymers'!$F$46:$G$46</f>
            </numRef>
          </val>
        </ser>
        <ser>
          <idx val="27"/>
          <order val="27"/>
          <tx>
            <v>poly(ethylene oxide) in methanol-d4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'Polymers'!$F$47:$G$47</f>
            </numRef>
          </val>
        </ser>
        <ser>
          <idx val="28"/>
          <order val="28"/>
          <tx>
            <v>poly(ethylene oxide) in methanol-d4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'Polymers'!$F$48:$G$48</f>
            </numRef>
          </val>
        </ser>
        <ser>
          <idx val="29"/>
          <order val="29"/>
          <tx>
            <v>poly(ethylene oxide) in poly(ethylene oxide)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'Polymers'!$F$49:$G$49</f>
            </numRef>
          </val>
        </ser>
        <ser>
          <idx val="30"/>
          <order val="30"/>
          <tx>
            <v>poly(ethylene oxide)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'Polymers'!$F$50:$G$50</f>
            </numRef>
          </val>
        </ser>
        <ser>
          <idx val="31"/>
          <order val="31"/>
          <tx>
            <v>poly(ethylene oxide)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'Polymers'!$F$51:$G$51</f>
            </numRef>
          </val>
        </ser>
        <ser>
          <idx val="32"/>
          <order val="32"/>
          <tx>
            <v>poly(methyl methacrylate) in acetone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'Polymers'!$F$52:$G$52</f>
            </numRef>
          </val>
        </ser>
        <ser>
          <idx val="33"/>
          <order val="33"/>
          <tx>
            <v>poly(methyl methacrylate) in benzene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'Polymers'!$F$53:$G$53</f>
            </numRef>
          </val>
        </ser>
        <ser>
          <idx val="34"/>
          <order val="34"/>
          <tx>
            <v>poly(methyl methacrylate) in benzene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'Polymers'!$F$54:$G$54</f>
            </numRef>
          </val>
        </ser>
        <ser>
          <idx val="35"/>
          <order val="35"/>
          <tx>
            <v>poly(methyl methacrylate)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'Polymers'!$F$55:$G$55</f>
            </numRef>
          </val>
        </ser>
        <ser>
          <idx val="36"/>
          <order val="36"/>
          <tx>
            <v>poly(methyl methacrylate)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'Polymers'!$F$56:$G$56</f>
            </numRef>
          </val>
        </ser>
        <ser>
          <idx val="37"/>
          <order val="37"/>
          <tx>
            <v>poly(methyl methacrylate)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'Polymers'!$F$57:$G$57</f>
            </numRef>
          </val>
        </ser>
        <ser>
          <idx val="38"/>
          <order val="38"/>
          <tx>
            <v>poly(methyl methacrylate)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'Polymers'!$F$58:$G$58</f>
            </numRef>
          </val>
        </ser>
        <ser>
          <idx val="39"/>
          <order val="39"/>
          <tx>
            <v>poly(methyl methacrylate) in benzene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'Polymers'!$F$59:$G$59</f>
            </numRef>
          </val>
        </ser>
        <ser>
          <idx val="40"/>
          <order val="40"/>
          <tx>
            <v>poly(methyl methacrylate) in benzene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'Polymers'!$F$60:$G$60</f>
            </numRef>
          </val>
        </ser>
        <ser>
          <idx val="41"/>
          <order val="41"/>
          <tx>
            <v>poly(methyl methacrylate) in benzene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'Polymers'!$F$61:$G$61</f>
            </numRef>
          </val>
        </ser>
        <ser>
          <idx val="42"/>
          <order val="42"/>
          <tx>
            <v>poly(methyl methacrylate) in chloroform-d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'Polymers'!$F$62:$G$62</f>
            </numRef>
          </val>
        </ser>
        <ser>
          <idx val="43"/>
          <order val="43"/>
          <tx>
            <v>poly(methyl methacrylate) in chloroform-d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'Polymers'!$F$63:$G$63</f>
            </numRef>
          </val>
        </ser>
        <ser>
          <idx val="44"/>
          <order val="44"/>
          <tx>
            <v>poly(methyl methacrylate) in chloroform-d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'Polymers'!$F$64:$G$64</f>
            </numRef>
          </val>
        </ser>
        <ser>
          <idx val="45"/>
          <order val="45"/>
          <tx>
            <v>poly(methyl methacrylate) in dichloromethane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'Polymers'!$F$65:$G$65</f>
            </numRef>
          </val>
        </ser>
        <ser>
          <idx val="46"/>
          <order val="46"/>
          <tx>
            <v>poly(methyl methacrylate) in dichloromethane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'Polymers'!$F$66:$G$66</f>
            </numRef>
          </val>
        </ser>
        <ser>
          <idx val="47"/>
          <order val="47"/>
          <tx>
            <v>poly(methyl methacrylate) in dimethyl sulfoxide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'Polymers'!$F$67:$G$67</f>
            </numRef>
          </val>
        </ser>
        <ser>
          <idx val="48"/>
          <order val="48"/>
          <tx>
            <v>poly(methyl methacrylate) in dimethyl sulfoxide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'Polymers'!$F$68:$G$68</f>
            </numRef>
          </val>
        </ser>
        <ser>
          <idx val="49"/>
          <order val="49"/>
          <tx>
            <v>poly(methyl methacrylate) in tetrahydrofuran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'Polymers'!$F$69:$G$69</f>
            </numRef>
          </val>
        </ser>
        <ser>
          <idx val="50"/>
          <order val="50"/>
          <tx>
            <v>poly(methyl methacrylate)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'Polymers'!$F$70:$G$70</f>
            </numRef>
          </val>
        </ser>
        <ser>
          <idx val="51"/>
          <order val="51"/>
          <tx>
            <v>poly(methyl methacrylate) in tetrahydrofuran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'Polymers'!$F$71:$G$71</f>
            </numRef>
          </val>
        </ser>
        <ser>
          <idx val="52"/>
          <order val="52"/>
          <tx>
            <v>poly(methyl methacrylate) in toluene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'Polymers'!$F$72:$G$72</f>
            </numRef>
          </val>
        </ser>
        <ser>
          <idx val="53"/>
          <order val="53"/>
          <tx>
            <v>poly(methyl methacrylate) in toluene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'Polymers'!$F$73:$G$73</f>
            </numRef>
          </val>
        </ser>
        <ser>
          <idx val="54"/>
          <order val="54"/>
          <tx>
            <v>polyimide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'Polymers'!$F$74:$G$74</f>
            </numRef>
          </val>
        </ser>
        <ser>
          <idx val="55"/>
          <order val="55"/>
          <tx>
            <v>polyimide in chloroform-d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'Polymers'!$F$75:$G$75</f>
            </numRef>
          </val>
        </ser>
        <ser>
          <idx val="56"/>
          <order val="56"/>
          <tx>
            <v>polyimide in dichloromethane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'Polymers'!$F$76:$G$76</f>
            </numRef>
          </val>
        </ser>
        <ser>
          <idx val="57"/>
          <order val="57"/>
          <tx>
            <v>polyimide in tetrahydrofuran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'Polymers'!$F$77:$G$77</f>
            </numRef>
          </val>
        </ser>
        <ser>
          <idx val="58"/>
          <order val="58"/>
          <tx>
            <v>polymer_name in acetone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'Polymers'!$F$78:$G$78</f>
            </numRef>
          </val>
        </ser>
        <ser>
          <idx val="59"/>
          <order val="59"/>
          <tx>
            <v>polymer_name in tetrahydrofuran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'Polymers'!$F$79:$G$79</f>
            </numRef>
          </val>
        </ser>
        <ser>
          <idx val="60"/>
          <order val="60"/>
          <tx>
            <v>polystyrene in acetone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'Polymers'!$F$80:$G$80</f>
            </numRef>
          </val>
        </ser>
        <ser>
          <idx val="61"/>
          <order val="61"/>
          <tx>
            <v>polystyrene in acetone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'Polymers'!$F$81:$G$81</f>
            </numRef>
          </val>
        </ser>
        <ser>
          <idx val="62"/>
          <order val="62"/>
          <tx>
            <v>polystyrene in benzene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'Polymers'!$F$82:$G$82</f>
            </numRef>
          </val>
        </ser>
        <ser>
          <idx val="63"/>
          <order val="63"/>
          <tx>
            <v>polystyrene in benzene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'Polymers'!$F$83:$G$83</f>
            </numRef>
          </val>
        </ser>
        <ser>
          <idx val="64"/>
          <order val="64"/>
          <tx>
            <v>polystyrene in benzene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'Polymers'!$F$84:$G$84</f>
            </numRef>
          </val>
        </ser>
        <ser>
          <idx val="65"/>
          <order val="65"/>
          <tx>
            <v>polystyrene in benzene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'Polymers'!$F$85:$G$85</f>
            </numRef>
          </val>
        </ser>
        <ser>
          <idx val="66"/>
          <order val="66"/>
          <tx>
            <v>polystyrene in chloroform-d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'Polymers'!$F$86:$G$86</f>
            </numRef>
          </val>
        </ser>
        <ser>
          <idx val="67"/>
          <order val="67"/>
          <tx>
            <v>polystyrene in chloroform-d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'Polymers'!$F$87:$G$87</f>
            </numRef>
          </val>
        </ser>
        <ser>
          <idx val="68"/>
          <order val="68"/>
          <tx>
            <v>polystyrene in chloroform-d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'Polymers'!$F$88:$G$88</f>
            </numRef>
          </val>
        </ser>
        <ser>
          <idx val="69"/>
          <order val="69"/>
          <tx>
            <v>polystyrene in dichloromethane</v>
          </tx>
          <spPr>
            <a:ln xmlns:a="http://schemas.openxmlformats.org/drawingml/2006/main">
              <a:solidFill>
                <a:srgbClr val="E26B0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'Polymers'!$F$89:$G$89</f>
            </numRef>
          </val>
        </ser>
        <ser>
          <idx val="70"/>
          <order val="70"/>
          <tx>
            <v>polystyrene in dichloromethane</v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'Polymers'!$F$90:$G$90</f>
            </numRef>
          </val>
        </ser>
        <ser>
          <idx val="71"/>
          <order val="71"/>
          <tx>
            <v>polystyrene in tetrahydrofuran</v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'Polymers'!$F$91:$G$91</f>
            </numRef>
          </val>
        </ser>
        <ser>
          <idx val="72"/>
          <order val="72"/>
          <tx>
            <v>polystyrene in tetrahydrofuran</v>
          </tx>
          <spPr>
            <a:ln xmlns:a="http://schemas.openxmlformats.org/drawingml/2006/main">
              <a:solidFill>
                <a:srgbClr val="1F497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'Polymers'!$F$92:$G$92</f>
            </numRef>
          </val>
        </ser>
        <ser>
          <idx val="73"/>
          <order val="73"/>
          <tx>
            <v>polystyrene in tetrahydrofuran</v>
          </tx>
          <spPr>
            <a:ln xmlns:a="http://schemas.openxmlformats.org/drawingml/2006/main">
              <a:solidFill>
                <a:srgbClr val="C050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'Polymers'!$F$93:$G$93</f>
            </numRef>
          </val>
        </ser>
        <ser>
          <idx val="74"/>
          <order val="74"/>
          <tx>
            <v>polystyrene in toluene</v>
          </tx>
          <spPr>
            <a:ln xmlns:a="http://schemas.openxmlformats.org/drawingml/2006/main">
              <a:solidFill>
                <a:srgbClr val="9BBB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'Polymers'!$F$94:$G$94</f>
            </numRef>
          </val>
        </ser>
        <ser>
          <idx val="75"/>
          <order val="75"/>
          <tx>
            <v>polystyrene in toluene</v>
          </tx>
          <spPr>
            <a:ln xmlns:a="http://schemas.openxmlformats.org/drawingml/2006/main">
              <a:solidFill>
                <a:srgbClr val="8064A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'Polymers'!$F$95:$G$95</f>
            </numRef>
          </val>
        </ser>
        <ser>
          <idx val="76"/>
          <order val="76"/>
          <tx>
            <v>polystyrene in toluene</v>
          </tx>
          <spPr>
            <a:ln xmlns:a="http://schemas.openxmlformats.org/drawingml/2006/main">
              <a:solidFill>
                <a:srgbClr val="F7964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'Polymers'!$F$96:$G$96</f>
            </numRef>
          </val>
        </ser>
        <ser>
          <idx val="77"/>
          <order val="77"/>
          <tx>
            <v>pullulan in deuterium oxide</v>
          </tx>
          <spPr>
            <a:ln xmlns:a="http://schemas.openxmlformats.org/drawingml/2006/main">
              <a:solidFill>
                <a:srgbClr val="4BAC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'Polymers'!$F$19:$G$19</f>
            </numRef>
          </cat>
          <val>
            <numRef>
              <f>'Polymers'!$F$97:$G$97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-8.529999999999999"/>
          <min val="-11.8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Flory Calibration Curves (log-log Plot)</a:t>
            </a:r>
          </a:p>
        </rich>
      </tx>
    </title>
    <plotArea>
      <lineChart>
        <grouping val="standard"/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log(M / g mol⁻¹)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log(D / m² s⁻¹)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20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 ht="28" customHeight="1">
      <c r="A1" s="1" t="inlineStr">
        <is>
          <t>CHEMSTRACTOR BATCH PROCESSING REPORT</t>
        </is>
      </c>
    </row>
    <row r="2" ht="18" customHeight="1">
      <c r="A2" s="2" t="inlineStr">
        <is>
          <t>Report Generated: 2026-07-29 11:54:08</t>
        </is>
      </c>
    </row>
    <row r="3"/>
    <row r="4">
      <c r="A4" s="3" t="inlineStr">
        <is>
          <t>1. Run Execution &amp; System Information</t>
        </is>
      </c>
    </row>
    <row r="5">
      <c r="A5" s="4" t="inlineStr">
        <is>
          <t>Property</t>
        </is>
      </c>
      <c r="B5" s="4" t="inlineStr">
        <is>
          <t>Details</t>
        </is>
      </c>
    </row>
    <row r="6">
      <c r="A6" s="5" t="inlineStr">
        <is>
          <t>Run Start Time</t>
        </is>
      </c>
      <c r="B6" s="5" t="inlineStr">
        <is>
          <t>2026-07-29 11:36:48</t>
        </is>
      </c>
    </row>
    <row r="7">
      <c r="A7" s="5" t="inlineStr">
        <is>
          <t>Run End Time</t>
        </is>
      </c>
      <c r="B7" s="5" t="inlineStr">
        <is>
          <t>2026-07-29 11:54:08</t>
        </is>
      </c>
    </row>
    <row r="8">
      <c r="A8" s="5" t="inlineStr">
        <is>
          <t>Total Execution Time</t>
        </is>
      </c>
      <c r="B8" s="5" t="inlineStr">
        <is>
          <t>1039.65s</t>
        </is>
      </c>
    </row>
    <row r="9">
      <c r="A9" s="5" t="inlineStr">
        <is>
          <t>Paper Processing Time</t>
        </is>
      </c>
      <c r="B9" s="5" t="inlineStr">
        <is>
          <t>N/A</t>
        </is>
      </c>
    </row>
    <row r="10">
      <c r="A10" s="5" t="inlineStr">
        <is>
          <t>Combine Stage Execution Time</t>
        </is>
      </c>
      <c r="B10" s="5" t="inlineStr">
        <is>
          <t>1039.65s</t>
        </is>
      </c>
    </row>
    <row r="11">
      <c r="A11" s="5" t="inlineStr">
        <is>
          <t>AI Model Selected</t>
        </is>
      </c>
      <c r="B11" s="5" t="inlineStr">
        <is>
          <t>gemma4:31b</t>
        </is>
      </c>
    </row>
    <row r="12">
      <c r="A12" s="5" t="inlineStr">
        <is>
          <t>Input Directory / Run</t>
        </is>
      </c>
      <c r="B12" s="5" t="inlineStr">
        <is>
          <t>tests/runs/2026-07-23_16-22-07/</t>
        </is>
      </c>
    </row>
    <row r="13">
      <c r="A13" s="5" t="inlineStr">
        <is>
          <t>Total Papers Inputted</t>
        </is>
      </c>
      <c r="B13" s="6" t="inlineStr">
        <is>
          <t>117</t>
        </is>
      </c>
    </row>
    <row r="14">
      <c r="A14" s="5" t="inlineStr">
        <is>
          <t>Papers Selected</t>
        </is>
      </c>
      <c r="B14" s="6" t="inlineStr">
        <is>
          <t>16</t>
        </is>
      </c>
    </row>
    <row r="15">
      <c r="A15" s="5" t="inlineStr">
        <is>
          <t>Total Tables Inspected</t>
        </is>
      </c>
      <c r="B15" s="6" t="inlineStr">
        <is>
          <t>67</t>
        </is>
      </c>
    </row>
    <row r="16">
      <c r="A16" s="5" t="inlineStr">
        <is>
          <t>Tables Selected for Extraction</t>
        </is>
      </c>
      <c r="B16" s="6" t="inlineStr">
        <is>
          <t>31</t>
        </is>
      </c>
    </row>
    <row r="17">
      <c r="A17" s="5" t="inlineStr">
        <is>
          <t>Operating System</t>
        </is>
      </c>
      <c r="B17" s="5" t="inlineStr">
        <is>
          <t>Linux 5.14.0-611.24.1.el9_7.x86_64</t>
        </is>
      </c>
    </row>
    <row r="18">
      <c r="A18" s="5" t="inlineStr">
        <is>
          <t>CPU Architecture &amp; Cores</t>
        </is>
      </c>
      <c r="B18" s="5" t="inlineStr">
        <is>
          <t>x86_64 (48 Cores)</t>
        </is>
      </c>
    </row>
    <row r="19">
      <c r="A19" s="5" t="inlineStr">
        <is>
          <t>Python Environment</t>
        </is>
      </c>
      <c r="B19" s="5" t="inlineStr">
        <is>
          <t>3.12.1</t>
        </is>
      </c>
    </row>
    <row r="20">
      <c r="A20" s="5" t="inlineStr">
        <is>
          <t>Host Machine Name</t>
        </is>
      </c>
      <c r="B20" s="5" t="inlineStr">
        <is>
          <t>node863.csf3.man.alces.network</t>
        </is>
      </c>
    </row>
    <row r="21"/>
    <row r="22">
      <c r="A22" s="3" t="inlineStr">
        <is>
          <t>2. Extraction &amp; Homogenisation Statistics</t>
        </is>
      </c>
    </row>
    <row r="23">
      <c r="A23" s="4" t="inlineStr">
        <is>
          <t>Metric</t>
        </is>
      </c>
      <c r="B23" s="4" t="inlineStr">
        <is>
          <t>Value</t>
        </is>
      </c>
    </row>
    <row r="24">
      <c r="A24" s="5" t="inlineStr">
        <is>
          <t>Total Data Points Collected</t>
        </is>
      </c>
      <c r="B24" s="6" t="n">
        <v>154</v>
      </c>
    </row>
    <row r="25">
      <c r="A25" s="5" t="inlineStr">
        <is>
          <t>Successful Data Points (Included)</t>
        </is>
      </c>
      <c r="B25" s="6" t="n">
        <v>0</v>
      </c>
    </row>
    <row r="26">
      <c r="A26" s="5" t="inlineStr">
        <is>
          <t>Flory Data Points</t>
        </is>
      </c>
      <c r="B26" s="6" t="n">
        <v>154</v>
      </c>
    </row>
    <row r="27">
      <c r="A27" s="5" t="inlineStr">
        <is>
          <t>Mark-Houwink Data Points</t>
        </is>
      </c>
      <c r="B27" s="6" t="n">
        <v>0</v>
      </c>
    </row>
    <row r="28">
      <c r="A28" s="5" t="inlineStr">
        <is>
          <t>Total Failures / Issues</t>
        </is>
      </c>
      <c r="B28" s="6" t="n">
        <v>154</v>
      </c>
    </row>
    <row r="29">
      <c r="A29" s="5" t="inlineStr">
        <is>
          <t>Overall Success Rate (%)</t>
        </is>
      </c>
      <c r="B29" s="6" t="inlineStr">
        <is>
          <t>0.0%</t>
        </is>
      </c>
    </row>
    <row r="30"/>
    <row r="31">
      <c r="A31" s="3" t="inlineStr">
        <is>
          <t>3. Failure Reasons Breakdown</t>
        </is>
      </c>
    </row>
    <row r="32">
      <c r="A32" s="4" t="inlineStr">
        <is>
          <t>Failure Reason / Field</t>
        </is>
      </c>
      <c r="B32" s="4" t="inlineStr">
        <is>
          <t>Count</t>
        </is>
      </c>
    </row>
    <row r="33">
      <c r="A33" s="5" t="inlineStr">
        <is>
          <t>Temperature Missing/Invalid</t>
        </is>
      </c>
      <c r="B33" s="6" t="n">
        <v>133</v>
      </c>
    </row>
    <row r="34">
      <c r="A34" s="5" t="inlineStr">
        <is>
          <t>Solvent Identification Failure</t>
        </is>
      </c>
      <c r="B34" s="6" t="n">
        <v>34</v>
      </c>
    </row>
    <row r="35">
      <c r="A35" s="5" t="inlineStr">
        <is>
          <t>Polymer Identification Failure</t>
        </is>
      </c>
      <c r="B35" s="6" t="n">
        <v>28</v>
      </c>
    </row>
    <row r="36">
      <c r="A36" s="5" t="inlineStr">
        <is>
          <t>c_value Out of Range</t>
        </is>
      </c>
      <c r="B36" s="6" t="n">
        <v>26</v>
      </c>
    </row>
    <row r="37">
      <c r="A37" s="5" t="inlineStr">
        <is>
          <t>D Value Out of Range</t>
        </is>
      </c>
      <c r="B37" s="6" t="n">
        <v>14</v>
      </c>
    </row>
    <row r="38">
      <c r="A38" s="5" t="inlineStr">
        <is>
          <t>v_value Out of Range</t>
        </is>
      </c>
      <c r="B38" s="6" t="n">
        <v>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4" t="inlineStr">
        <is>
          <t>Source Paper</t>
        </is>
      </c>
      <c r="B1" s="4" t="inlineStr">
        <is>
          <t>Total Tables</t>
        </is>
      </c>
      <c r="C1" s="4" t="inlineStr">
        <is>
          <t>Selected Tables</t>
        </is>
      </c>
      <c r="D1" s="4" t="inlineStr">
        <is>
          <t>Flory Data Points</t>
        </is>
      </c>
      <c r="E1" s="4" t="inlineStr">
        <is>
          <t>Mark-Houwink Data Points</t>
        </is>
      </c>
      <c r="F1" s="4" t="inlineStr">
        <is>
          <t>Failed Data Points</t>
        </is>
      </c>
    </row>
    <row r="2">
      <c r="A2" s="5" t="inlineStr">
        <is>
          <t>1994 - Structural Information on Hyaluronic Acid Solutions As Studied by Probe Diffusion Experiments</t>
        </is>
      </c>
      <c r="B2" s="6" t="n">
        <v>2</v>
      </c>
      <c r="C2" s="6" t="n">
        <v>1</v>
      </c>
      <c r="D2" s="6" t="n">
        <v>4</v>
      </c>
      <c r="E2" s="6" t="n">
        <v>0</v>
      </c>
      <c r="F2" s="6" t="n">
        <v>4</v>
      </c>
    </row>
    <row r="3">
      <c r="A3" s="5" t="inlineStr">
        <is>
          <t>1995 - Determination of Molecular Weight Distributions for Polymers by diffusion NMR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1</v>
      </c>
    </row>
    <row r="4">
      <c r="A4" s="5" t="inlineStr">
        <is>
          <t>2008 - Determination of the Chemical Structure of Poly-β-pinene by NMR Spectroscopy</t>
        </is>
      </c>
      <c r="B4" s="6" t="n">
        <v>6</v>
      </c>
      <c r="C4" s="6" t="n">
        <v>1</v>
      </c>
      <c r="D4" s="6" t="n">
        <v>1</v>
      </c>
      <c r="E4" s="6" t="n">
        <v>0</v>
      </c>
      <c r="F4" s="6" t="n">
        <v>1</v>
      </c>
    </row>
    <row r="5">
      <c r="A5" s="5" t="inlineStr">
        <is>
          <t>2009 - NMR Measure of Translational Diffusion and Fractal Dimension. Application to Molecular Mass Measurement</t>
        </is>
      </c>
      <c r="B5" s="6" t="n">
        <v>2</v>
      </c>
      <c r="C5" s="6" t="n">
        <v>2</v>
      </c>
      <c r="D5" s="6" t="n">
        <v>23</v>
      </c>
      <c r="E5" s="6" t="n">
        <v>0</v>
      </c>
      <c r="F5" s="6" t="n">
        <v>23</v>
      </c>
    </row>
    <row r="6">
      <c r="A6" s="5" t="inlineStr">
        <is>
          <t>2011 - A Simple Access to the LogNormal Molecular weight distribution parameters of Polymers using PGSTE NMR</t>
        </is>
      </c>
      <c r="B6" s="6" t="n">
        <v>2</v>
      </c>
      <c r="C6" s="6" t="n">
        <v>2</v>
      </c>
      <c r="D6" s="6" t="n">
        <v>0</v>
      </c>
      <c r="E6" s="6" t="n">
        <v>0</v>
      </c>
      <c r="F6" s="6" t="n">
        <v>0</v>
      </c>
    </row>
    <row r="7">
      <c r="A7" s="5" t="inlineStr">
        <is>
          <t>2014 - Determination of the Average Molecular Weight of Hydroxyethyl Starches by Diffusion Ordered NMR Spectroscopy</t>
        </is>
      </c>
      <c r="B7" s="6" t="n">
        <v>4</v>
      </c>
      <c r="C7" s="6" t="n">
        <v>1</v>
      </c>
      <c r="D7" s="6" t="n">
        <v>3</v>
      </c>
      <c r="E7" s="6" t="n">
        <v>0</v>
      </c>
      <c r="F7" s="6" t="n">
        <v>3</v>
      </c>
    </row>
    <row r="8">
      <c r="A8" s="5" t="inlineStr">
        <is>
          <t>2015 - Determination of the parameters of molecular-weight distribution of hydroxyethyl starches by diffusion-ordered NMR spectroscopy</t>
        </is>
      </c>
      <c r="B8" s="6" t="n">
        <v>4</v>
      </c>
      <c r="C8" s="6" t="n">
        <v>1</v>
      </c>
      <c r="D8" s="6" t="n">
        <v>6</v>
      </c>
      <c r="E8" s="6" t="n">
        <v>0</v>
      </c>
      <c r="F8" s="6" t="n">
        <v>6</v>
      </c>
    </row>
    <row r="9">
      <c r="A9" s="5" t="inlineStr">
        <is>
          <t>2016 - 1 H DOSY NMR Determination of the Molecular Weight and the Solution Properties of Poly-( N -acryloylmorpholine) in Various Solvents</t>
        </is>
      </c>
      <c r="B9" s="6" t="n">
        <v>2</v>
      </c>
      <c r="C9" s="6" t="n">
        <v>1</v>
      </c>
      <c r="D9" s="6" t="n">
        <v>4</v>
      </c>
      <c r="E9" s="6" t="n">
        <v>0</v>
      </c>
      <c r="F9" s="6" t="n">
        <v>4</v>
      </c>
    </row>
    <row r="10">
      <c r="A10" s="5" t="inlineStr">
        <is>
          <t>2019 - Quantitative Studies of Block Copolymers and Their Containing Homopolymer Components by Diffusion Ordered Spectroscopy</t>
        </is>
      </c>
      <c r="B10" s="6" t="n">
        <v>6</v>
      </c>
      <c r="C10" s="6" t="n">
        <v>1</v>
      </c>
      <c r="D10" s="6" t="n">
        <v>6</v>
      </c>
      <c r="E10" s="6" t="n">
        <v>0</v>
      </c>
      <c r="F10" s="6" t="n">
        <v>6</v>
      </c>
    </row>
    <row r="11">
      <c r="A11" s="5" t="inlineStr">
        <is>
          <t>2020 - Application of 1H DOSY NMR in Measurement of Polystyrene Molecular Weights</t>
        </is>
      </c>
      <c r="B11" s="6" t="n">
        <v>3</v>
      </c>
      <c r="C11" s="6" t="n">
        <v>3</v>
      </c>
      <c r="D11" s="6" t="n">
        <v>1</v>
      </c>
      <c r="E11" s="6" t="n">
        <v>0</v>
      </c>
      <c r="F11" s="6" t="n">
        <v>1</v>
      </c>
    </row>
    <row r="12">
      <c r="A12" s="5" t="inlineStr">
        <is>
          <t>2021 - Solvent‐Independent Molecular Weight Determination of Polymers Based on a Truly  Universal Calibration</t>
        </is>
      </c>
      <c r="B12" s="6" t="n">
        <v>3</v>
      </c>
      <c r="C12" s="6" t="n">
        <v>3</v>
      </c>
      <c r="D12" s="6" t="n">
        <v>17</v>
      </c>
      <c r="E12" s="6" t="n">
        <v>0</v>
      </c>
      <c r="F12" s="6" t="n">
        <v>17</v>
      </c>
    </row>
    <row r="13">
      <c r="A13" s="5" t="inlineStr">
        <is>
          <t>2021 - Solvent‐Independent Molecular Weight Determination of Polymers Based on a Truly Universal Calibration SI</t>
        </is>
      </c>
      <c r="B13" s="6" t="n">
        <v>8</v>
      </c>
      <c r="C13" s="6" t="n">
        <v>4</v>
      </c>
      <c r="D13" s="6" t="n">
        <v>2</v>
      </c>
      <c r="E13" s="6" t="n">
        <v>0</v>
      </c>
      <c r="F13" s="6" t="n">
        <v>2</v>
      </c>
    </row>
    <row r="14">
      <c r="A14" s="5" t="inlineStr">
        <is>
          <t>2022 - Molar Mass Distribution and Chemical Composition Distribution of PS‑b‑PMMA Block Copolymers Determined by Diffusion Ordered Spectroscopy</t>
        </is>
      </c>
      <c r="B14" s="6" t="n">
        <v>3</v>
      </c>
      <c r="C14" s="6" t="n">
        <v>1</v>
      </c>
      <c r="D14" s="6" t="n">
        <v>2</v>
      </c>
      <c r="E14" s="6" t="n">
        <v>0</v>
      </c>
      <c r="F14" s="6" t="n">
        <v>2</v>
      </c>
    </row>
    <row r="15">
      <c r="A15" s="5" t="inlineStr">
        <is>
          <t>2023 - A fast and efficient way of obtaining the average molecular weight of block copolymers via DOSY</t>
        </is>
      </c>
      <c r="B15" s="6" t="n">
        <v>8</v>
      </c>
      <c r="C15" s="6" t="n">
        <v>4</v>
      </c>
      <c r="D15" s="6" t="n">
        <v>12</v>
      </c>
      <c r="E15" s="6" t="n">
        <v>0</v>
      </c>
      <c r="F15" s="6" t="n">
        <v>12</v>
      </c>
    </row>
    <row r="16">
      <c r="A16" s="5" t="inlineStr">
        <is>
          <t>2023 - The Universal Calibration for Structure- and Solvent-Independent Molar Mass Determinations of Polymers Using Diffusion-Ordered Spectroscopy</t>
        </is>
      </c>
      <c r="B16" s="6" t="n">
        <v>1</v>
      </c>
      <c r="C16" s="6" t="n">
        <v>1</v>
      </c>
      <c r="D16" s="6" t="n">
        <v>16</v>
      </c>
      <c r="E16" s="6" t="n">
        <v>0</v>
      </c>
      <c r="F16" s="6" t="n">
        <v>16</v>
      </c>
    </row>
    <row r="17">
      <c r="A17" s="5" t="inlineStr">
        <is>
          <t>2024 - Molar Mass Determination for Small and Large Molecules Using Diffusion-Ordered Spectroscopy - SI</t>
        </is>
      </c>
      <c r="B17" s="6" t="n">
        <v>11</v>
      </c>
      <c r="C17" s="6" t="n">
        <v>4</v>
      </c>
      <c r="D17" s="6" t="n">
        <v>56</v>
      </c>
      <c r="E17" s="6" t="n">
        <v>0</v>
      </c>
      <c r="F17" s="6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25" customWidth="1" min="4" max="4"/>
    <col width="29" customWidth="1" min="5" max="5"/>
    <col width="98" customWidth="1" min="6" max="6"/>
    <col width="98" customWidth="1" min="7" max="7"/>
    <col width="14" customWidth="1" min="8" max="8"/>
    <col width="14" customWidth="1" min="9" max="9"/>
    <col width="14" customWidth="1" min="10" max="10"/>
    <col width="14" customWidth="1" min="11" max="11"/>
    <col hidden="1" width="13" customWidth="1" min="12" max="12"/>
    <col hidden="1" width="13" customWidth="1" min="13" max="13"/>
  </cols>
  <sheetData>
    <row r="1"/>
    <row r="2">
      <c r="B2" s="7" t="inlineStr">
        <is>
          <t>Interactive Curve Explorer</t>
        </is>
      </c>
      <c r="C2" s="8" t="n"/>
      <c r="L2" s="9" t="inlineStr">
        <is>
          <t>All</t>
        </is>
      </c>
      <c r="M2" s="9" t="inlineStr">
        <is>
          <t>All</t>
        </is>
      </c>
    </row>
    <row r="3">
      <c r="B3" s="10" t="inlineStr">
        <is>
          <t>Select Polymer:</t>
        </is>
      </c>
      <c r="C3" s="5" t="inlineStr">
        <is>
          <t>All</t>
        </is>
      </c>
      <c r="L3" s="9" t="inlineStr">
        <is>
          <t>dextran</t>
        </is>
      </c>
      <c r="M3" s="9" t="inlineStr">
        <is>
          <t>acetone</t>
        </is>
      </c>
    </row>
    <row r="4">
      <c r="B4" s="10" t="inlineStr">
        <is>
          <t>Select Solvent:</t>
        </is>
      </c>
      <c r="C4" s="5" t="inlineStr">
        <is>
          <t>All</t>
        </is>
      </c>
      <c r="L4" s="9" t="inlineStr">
        <is>
          <t>poly(2-vinylpyridine)</t>
        </is>
      </c>
      <c r="M4" s="9" t="inlineStr">
        <is>
          <t>acetonitrile-d3</t>
        </is>
      </c>
    </row>
    <row r="5">
      <c r="B5" s="10" t="inlineStr">
        <is>
          <t>Active Curves:</t>
        </is>
      </c>
      <c r="C5" s="11">
        <f>COUNTIF(F20:F97, "&lt;&gt;#N/A")</f>
        <v/>
      </c>
      <c r="L5" s="9" t="inlineStr">
        <is>
          <t>poly(butyl acrylate)</t>
        </is>
      </c>
      <c r="M5" s="9" t="inlineStr">
        <is>
          <t>benzene</t>
        </is>
      </c>
    </row>
    <row r="6">
      <c r="L6" s="9" t="inlineStr">
        <is>
          <t>poly(ethylene glycol methyl ether methacrylate)</t>
        </is>
      </c>
      <c r="M6" s="9" t="inlineStr">
        <is>
          <t>chloroform-d</t>
        </is>
      </c>
    </row>
    <row r="7">
      <c r="L7" s="9" t="inlineStr">
        <is>
          <t>poly(ethylene oxide)</t>
        </is>
      </c>
      <c r="M7" s="9" t="inlineStr">
        <is>
          <t>deuterium oxide</t>
        </is>
      </c>
    </row>
    <row r="8">
      <c r="L8" s="9" t="inlineStr">
        <is>
          <t>poly(methyl methacrylate)</t>
        </is>
      </c>
      <c r="M8" s="9" t="inlineStr">
        <is>
          <t>dichloromethane</t>
        </is>
      </c>
    </row>
    <row r="9">
      <c r="L9" s="9" t="inlineStr">
        <is>
          <t>polyimide</t>
        </is>
      </c>
      <c r="M9" s="9" t="inlineStr">
        <is>
          <t>dimethyl sulfoxide</t>
        </is>
      </c>
    </row>
    <row r="10">
      <c r="L10" s="9" t="inlineStr">
        <is>
          <t>polymer_name</t>
        </is>
      </c>
      <c r="M10" s="9" t="inlineStr">
        <is>
          <t>methanol-d4</t>
        </is>
      </c>
    </row>
    <row r="11">
      <c r="L11" s="9" t="inlineStr">
        <is>
          <t>polystyrene</t>
        </is>
      </c>
      <c r="M11" s="9" t="inlineStr">
        <is>
          <t>poly(ethylene oxide)</t>
        </is>
      </c>
    </row>
    <row r="12">
      <c r="L12" s="9" t="inlineStr">
        <is>
          <t>pullulan</t>
        </is>
      </c>
      <c r="M12" s="9" t="inlineStr">
        <is>
          <t>tetrahydrofuran</t>
        </is>
      </c>
    </row>
    <row r="13">
      <c r="M13" s="9" t="inlineStr">
        <is>
          <t>toluene</t>
        </is>
      </c>
    </row>
    <row r="14">
      <c r="M14" s="9" t="inlineStr">
        <is>
          <t>water</t>
        </is>
      </c>
    </row>
    <row r="15"/>
    <row r="16"/>
    <row r="17"/>
    <row r="18"/>
    <row r="19">
      <c r="A19" s="4" t="inlineStr">
        <is>
          <t>Polymer (Clean)</t>
        </is>
      </c>
      <c r="B19" s="4" t="inlineStr">
        <is>
          <t>Solvent (Clean)</t>
        </is>
      </c>
      <c r="C19" s="4" t="inlineStr">
        <is>
          <t>Temperature (K)</t>
        </is>
      </c>
      <c r="D19" s="4" t="inlineStr">
        <is>
          <t>c Value (log Constant)</t>
        </is>
      </c>
      <c r="E19" s="4" t="inlineStr">
        <is>
          <t>v Value (Scaling Exponent)</t>
        </is>
      </c>
      <c r="F19" s="4" t="n">
        <v>3</v>
      </c>
      <c r="G19" s="4" t="n">
        <v>6</v>
      </c>
    </row>
    <row r="20">
      <c r="A20" s="5" t="inlineStr">
        <is>
          <t>dextran</t>
        </is>
      </c>
      <c r="B20" s="5" t="inlineStr">
        <is>
          <t>deuterium oxide</t>
        </is>
      </c>
      <c r="C20" s="6" t="inlineStr">
        <is>
          <t>Not found</t>
        </is>
      </c>
      <c r="D20" s="6" t="n">
        <v>-8.140000000000001</v>
      </c>
      <c r="E20" s="6" t="n">
        <v>0.47</v>
      </c>
      <c r="F20" s="6">
        <f>IF(AND(OR($C$3="All", $C$3="", A20=$C$3), OR($C$4="All", $C$4="", B20=$C$4)), D20-E20*3, NA())</f>
        <v/>
      </c>
      <c r="G20" s="6">
        <f>IF(AND(OR($C$3="All", $C$3="", A20=$C$3), OR($C$4="All", $C$4="", B20=$C$4)), D20-E20*6, NA())</f>
        <v/>
      </c>
    </row>
    <row r="21">
      <c r="A21" s="5" t="inlineStr">
        <is>
          <t>poly(2-vinylpyridine)</t>
        </is>
      </c>
      <c r="B21" s="5" t="inlineStr">
        <is>
          <t>benzene</t>
        </is>
      </c>
      <c r="C21" s="6" t="n"/>
      <c r="D21" s="6" t="n">
        <v>-7.903646240006705</v>
      </c>
      <c r="E21" s="6" t="n">
        <v>0.48883</v>
      </c>
      <c r="F21" s="6">
        <f>IF(AND(OR($C$3="All", $C$3="", A21=$C$3), OR($C$4="All", $C$4="", B21=$C$4)), D21-E21*3, NA())</f>
        <v/>
      </c>
      <c r="G21" s="6">
        <f>IF(AND(OR($C$3="All", $C$3="", A21=$C$3), OR($C$4="All", $C$4="", B21=$C$4)), D21-E21*6, NA())</f>
        <v/>
      </c>
    </row>
    <row r="22">
      <c r="A22" s="5" t="inlineStr">
        <is>
          <t>poly(2-vinylpyridine)</t>
        </is>
      </c>
      <c r="B22" s="5" t="inlineStr">
        <is>
          <t>chloroform-d</t>
        </is>
      </c>
      <c r="C22" s="6" t="n"/>
      <c r="D22" s="6" t="n">
        <v>-7.577590743390301</v>
      </c>
      <c r="E22" s="6" t="n">
        <v>0.48883</v>
      </c>
      <c r="F22" s="6">
        <f>IF(AND(OR($C$3="All", $C$3="", A22=$C$3), OR($C$4="All", $C$4="", B22=$C$4)), D22-E22*3, NA())</f>
        <v/>
      </c>
      <c r="G22" s="6">
        <f>IF(AND(OR($C$3="All", $C$3="", A22=$C$3), OR($C$4="All", $C$4="", B22=$C$4)), D22-E22*6, NA())</f>
        <v/>
      </c>
    </row>
    <row r="23">
      <c r="A23" s="5" t="inlineStr">
        <is>
          <t>poly(2-vinylpyridine)</t>
        </is>
      </c>
      <c r="B23" s="5" t="inlineStr">
        <is>
          <t>dichloromethane</t>
        </is>
      </c>
      <c r="C23" s="6" t="n"/>
      <c r="D23" s="6" t="n">
        <v>-7.947113764743619</v>
      </c>
      <c r="E23" s="6" t="n">
        <v>0.53396</v>
      </c>
      <c r="F23" s="6">
        <f>IF(AND(OR($C$3="All", $C$3="", A23=$C$3), OR($C$4="All", $C$4="", B23=$C$4)), D23-E23*3, NA())</f>
        <v/>
      </c>
      <c r="G23" s="6">
        <f>IF(AND(OR($C$3="All", $C$3="", A23=$C$3), OR($C$4="All", $C$4="", B23=$C$4)), D23-E23*6, NA())</f>
        <v/>
      </c>
    </row>
    <row r="24">
      <c r="A24" s="5" t="inlineStr">
        <is>
          <t>poly(2-vinylpyridine)</t>
        </is>
      </c>
      <c r="B24" s="5" t="inlineStr">
        <is>
          <t>tetrahydrofuran</t>
        </is>
      </c>
      <c r="C24" s="6" t="n"/>
      <c r="D24" s="6" t="n">
        <v>-7.739952475004678</v>
      </c>
      <c r="E24" s="6" t="n">
        <v>0.5049</v>
      </c>
      <c r="F24" s="6">
        <f>IF(AND(OR($C$3="All", $C$3="", A24=$C$3), OR($C$4="All", $C$4="", B24=$C$4)), D24-E24*3, NA())</f>
        <v/>
      </c>
      <c r="G24" s="6">
        <f>IF(AND(OR($C$3="All", $C$3="", A24=$C$3), OR($C$4="All", $C$4="", B24=$C$4)), D24-E24*6, NA())</f>
        <v/>
      </c>
    </row>
    <row r="25">
      <c r="A25" s="5" t="inlineStr">
        <is>
          <t>poly(butyl acrylate)</t>
        </is>
      </c>
      <c r="B25" s="5" t="inlineStr">
        <is>
          <t>acetone</t>
        </is>
      </c>
      <c r="C25" s="6" t="n"/>
      <c r="D25" s="6" t="n">
        <v>-7.56</v>
      </c>
      <c r="E25" s="6" t="n">
        <v>0.5</v>
      </c>
      <c r="F25" s="6">
        <f>IF(AND(OR($C$3="All", $C$3="", A25=$C$3), OR($C$4="All", $C$4="", B25=$C$4)), D25-E25*3, NA())</f>
        <v/>
      </c>
      <c r="G25" s="6">
        <f>IF(AND(OR($C$3="All", $C$3="", A25=$C$3), OR($C$4="All", $C$4="", B25=$C$4)), D25-E25*6, NA())</f>
        <v/>
      </c>
    </row>
    <row r="26">
      <c r="A26" s="5" t="inlineStr">
        <is>
          <t>poly(butyl acrylate)</t>
        </is>
      </c>
      <c r="B26" s="5" t="inlineStr">
        <is>
          <t>benzene</t>
        </is>
      </c>
      <c r="C26" s="6" t="n"/>
      <c r="D26" s="6" t="n">
        <v>-7.83</v>
      </c>
      <c r="E26" s="6" t="n">
        <v>0.51</v>
      </c>
      <c r="F26" s="6">
        <f>IF(AND(OR($C$3="All", $C$3="", A26=$C$3), OR($C$4="All", $C$4="", B26=$C$4)), D26-E26*3, NA())</f>
        <v/>
      </c>
      <c r="G26" s="6">
        <f>IF(AND(OR($C$3="All", $C$3="", A26=$C$3), OR($C$4="All", $C$4="", B26=$C$4)), D26-E26*6, NA())</f>
        <v/>
      </c>
    </row>
    <row r="27">
      <c r="A27" s="5" t="inlineStr">
        <is>
          <t>poly(ethylene glycol methyl ether methacrylate)</t>
        </is>
      </c>
      <c r="B27" s="5" t="inlineStr">
        <is>
          <t>acetone</t>
        </is>
      </c>
      <c r="C27" s="6" t="n"/>
      <c r="D27" s="6" t="n">
        <v>-8.01</v>
      </c>
      <c r="E27" s="6" t="n">
        <v>0.39</v>
      </c>
      <c r="F27" s="6">
        <f>IF(AND(OR($C$3="All", $C$3="", A27=$C$3), OR($C$4="All", $C$4="", B27=$C$4)), D27-E27*3, NA())</f>
        <v/>
      </c>
      <c r="G27" s="6">
        <f>IF(AND(OR($C$3="All", $C$3="", A27=$C$3), OR($C$4="All", $C$4="", B27=$C$4)), D27-E27*6, NA())</f>
        <v/>
      </c>
    </row>
    <row r="28">
      <c r="A28" s="5" t="inlineStr">
        <is>
          <t>poly(ethylene glycol methyl ether methacrylate)</t>
        </is>
      </c>
      <c r="B28" s="5" t="inlineStr">
        <is>
          <t>water</t>
        </is>
      </c>
      <c r="C28" s="6" t="n"/>
      <c r="D28" s="6" t="n">
        <v>-8.31</v>
      </c>
      <c r="E28" s="6" t="n">
        <v>0.47</v>
      </c>
      <c r="F28" s="6">
        <f>IF(AND(OR($C$3="All", $C$3="", A28=$C$3), OR($C$4="All", $C$4="", B28=$C$4)), D28-E28*3, NA())</f>
        <v/>
      </c>
      <c r="G28" s="6">
        <f>IF(AND(OR($C$3="All", $C$3="", A28=$C$3), OR($C$4="All", $C$4="", B28=$C$4)), D28-E28*6, NA())</f>
        <v/>
      </c>
    </row>
    <row r="29">
      <c r="A29" s="5" t="inlineStr">
        <is>
          <t>poly(ethylene oxide)</t>
        </is>
      </c>
      <c r="B29" s="5" t="inlineStr">
        <is>
          <t>acetone</t>
        </is>
      </c>
      <c r="C29" s="6" t="n"/>
      <c r="D29" s="6" t="n">
        <v>-7.94</v>
      </c>
      <c r="E29" s="6" t="n">
        <v>0.41</v>
      </c>
      <c r="F29" s="6">
        <f>IF(AND(OR($C$3="All", $C$3="", A29=$C$3), OR($C$4="All", $C$4="", B29=$C$4)), D29-E29*3, NA())</f>
        <v/>
      </c>
      <c r="G29" s="6">
        <f>IF(AND(OR($C$3="All", $C$3="", A29=$C$3), OR($C$4="All", $C$4="", B29=$C$4)), D29-E29*6, NA())</f>
        <v/>
      </c>
    </row>
    <row r="30">
      <c r="A30" s="5" t="inlineStr">
        <is>
          <t>poly(ethylene oxide)</t>
        </is>
      </c>
      <c r="B30" s="5" t="inlineStr">
        <is>
          <t>acetone</t>
        </is>
      </c>
      <c r="C30" s="6" t="n"/>
      <c r="D30" s="6" t="n">
        <v>-7.673502333065918</v>
      </c>
      <c r="E30" s="6" t="n">
        <v>0.474477</v>
      </c>
      <c r="F30" s="6">
        <f>IF(AND(OR($C$3="All", $C$3="", A30=$C$3), OR($C$4="All", $C$4="", B30=$C$4)), D30-E30*3, NA())</f>
        <v/>
      </c>
      <c r="G30" s="6">
        <f>IF(AND(OR($C$3="All", $C$3="", A30=$C$3), OR($C$4="All", $C$4="", B30=$C$4)), D30-E30*6, NA())</f>
        <v/>
      </c>
    </row>
    <row r="31">
      <c r="A31" s="5" t="inlineStr">
        <is>
          <t>poly(ethylene oxide)</t>
        </is>
      </c>
      <c r="B31" s="5" t="inlineStr">
        <is>
          <t>acetone</t>
        </is>
      </c>
      <c r="C31" s="6" t="n"/>
      <c r="D31" s="6" t="n">
        <v>-7.673500285274963</v>
      </c>
      <c r="E31" s="6" t="n">
        <v>0.47448</v>
      </c>
      <c r="F31" s="6">
        <f>IF(AND(OR($C$3="All", $C$3="", A31=$C$3), OR($C$4="All", $C$4="", B31=$C$4)), D31-E31*3, NA())</f>
        <v/>
      </c>
      <c r="G31" s="6">
        <f>IF(AND(OR($C$3="All", $C$3="", A31=$C$3), OR($C$4="All", $C$4="", B31=$C$4)), D31-E31*6, NA())</f>
        <v/>
      </c>
    </row>
    <row r="32">
      <c r="A32" s="5" t="inlineStr">
        <is>
          <t>poly(ethylene oxide)</t>
        </is>
      </c>
      <c r="B32" s="5" t="inlineStr">
        <is>
          <t>acetonitrile-d3</t>
        </is>
      </c>
      <c r="C32" s="6" t="n"/>
      <c r="D32" s="6" t="n">
        <v>-7.88</v>
      </c>
      <c r="E32" s="6" t="n">
        <v>0.44</v>
      </c>
      <c r="F32" s="6">
        <f>IF(AND(OR($C$3="All", $C$3="", A32=$C$3), OR($C$4="All", $C$4="", B32=$C$4)), D32-E32*3, NA())</f>
        <v/>
      </c>
      <c r="G32" s="6">
        <f>IF(AND(OR($C$3="All", $C$3="", A32=$C$3), OR($C$4="All", $C$4="", B32=$C$4)), D32-E32*6, NA())</f>
        <v/>
      </c>
    </row>
    <row r="33">
      <c r="A33" s="5" t="inlineStr">
        <is>
          <t>poly(ethylene oxide)</t>
        </is>
      </c>
      <c r="B33" s="5" t="inlineStr">
        <is>
          <t>acetonitrile-d3</t>
        </is>
      </c>
      <c r="C33" s="6" t="n"/>
      <c r="D33" s="6" t="n">
        <v>-7.590203777049215</v>
      </c>
      <c r="E33" s="6" t="n">
        <v>0.515853</v>
      </c>
      <c r="F33" s="6">
        <f>IF(AND(OR($C$3="All", $C$3="", A33=$C$3), OR($C$4="All", $C$4="", B33=$C$4)), D33-E33*3, NA())</f>
        <v/>
      </c>
      <c r="G33" s="6">
        <f>IF(AND(OR($C$3="All", $C$3="", A33=$C$3), OR($C$4="All", $C$4="", B33=$C$4)), D33-E33*6, NA())</f>
        <v/>
      </c>
    </row>
    <row r="34">
      <c r="A34" s="5" t="inlineStr">
        <is>
          <t>poly(ethylene oxide)</t>
        </is>
      </c>
      <c r="B34" s="5" t="inlineStr">
        <is>
          <t>acetonitrile-d3</t>
        </is>
      </c>
      <c r="C34" s="6" t="n"/>
      <c r="D34" s="6" t="n">
        <v>-7.281913705216908</v>
      </c>
      <c r="E34" s="6" t="n">
        <v>0.59613</v>
      </c>
      <c r="F34" s="6">
        <f>IF(AND(OR($C$3="All", $C$3="", A34=$C$3), OR($C$4="All", $C$4="", B34=$C$4)), D34-E34*3, NA())</f>
        <v/>
      </c>
      <c r="G34" s="6">
        <f>IF(AND(OR($C$3="All", $C$3="", A34=$C$3), OR($C$4="All", $C$4="", B34=$C$4)), D34-E34*6, NA())</f>
        <v/>
      </c>
    </row>
    <row r="35">
      <c r="A35" s="5" t="inlineStr">
        <is>
          <t>poly(ethylene oxide)</t>
        </is>
      </c>
      <c r="B35" s="5" t="inlineStr">
        <is>
          <t>deuterium oxide</t>
        </is>
      </c>
      <c r="C35" s="6" t="n"/>
      <c r="D35" s="6" t="n">
        <v>-7.62</v>
      </c>
      <c r="E35" s="6" t="n">
        <v>0.62</v>
      </c>
      <c r="F35" s="6">
        <f>IF(AND(OR($C$3="All", $C$3="", A35=$C$3), OR($C$4="All", $C$4="", B35=$C$4)), D35-E35*3, NA())</f>
        <v/>
      </c>
      <c r="G35" s="6">
        <f>IF(AND(OR($C$3="All", $C$3="", A35=$C$3), OR($C$4="All", $C$4="", B35=$C$4)), D35-E35*6, NA())</f>
        <v/>
      </c>
    </row>
    <row r="36">
      <c r="A36" s="5" t="inlineStr">
        <is>
          <t>poly(ethylene oxide)</t>
        </is>
      </c>
      <c r="B36" s="5" t="inlineStr">
        <is>
          <t>deuterium oxide</t>
        </is>
      </c>
      <c r="C36" s="6" t="inlineStr">
        <is>
          <t>Not found</t>
        </is>
      </c>
      <c r="D36" s="6" t="n">
        <v>-8.390000000000001</v>
      </c>
      <c r="E36" s="6" t="n">
        <v>0.47</v>
      </c>
      <c r="F36" s="6">
        <f>IF(AND(OR($C$3="All", $C$3="", A36=$C$3), OR($C$4="All", $C$4="", B36=$C$4)), D36-E36*3, NA())</f>
        <v/>
      </c>
      <c r="G36" s="6">
        <f>IF(AND(OR($C$3="All", $C$3="", A36=$C$3), OR($C$4="All", $C$4="", B36=$C$4)), D36-E36*6, NA())</f>
        <v/>
      </c>
    </row>
    <row r="37">
      <c r="A37" s="5" t="inlineStr">
        <is>
          <t>poly(ethylene oxide)</t>
        </is>
      </c>
      <c r="B37" s="5" t="inlineStr">
        <is>
          <t>deuterium oxide</t>
        </is>
      </c>
      <c r="C37" s="6" t="n"/>
      <c r="D37" s="6" t="n">
        <v>-8.23</v>
      </c>
      <c r="E37" s="6" t="n">
        <v>0.49</v>
      </c>
      <c r="F37" s="6">
        <f>IF(AND(OR($C$3="All", $C$3="", A37=$C$3), OR($C$4="All", $C$4="", B37=$C$4)), D37-E37*3, NA())</f>
        <v/>
      </c>
      <c r="G37" s="6">
        <f>IF(AND(OR($C$3="All", $C$3="", A37=$C$3), OR($C$4="All", $C$4="", B37=$C$4)), D37-E37*6, NA())</f>
        <v/>
      </c>
    </row>
    <row r="38">
      <c r="A38" s="5" t="inlineStr">
        <is>
          <t>poly(ethylene oxide)</t>
        </is>
      </c>
      <c r="B38" s="5" t="inlineStr">
        <is>
          <t>deuterium oxide</t>
        </is>
      </c>
      <c r="C38" s="6" t="n"/>
      <c r="D38" s="6" t="n">
        <v>-8.327</v>
      </c>
      <c r="E38" s="6" t="n">
        <v>0.4466</v>
      </c>
      <c r="F38" s="6">
        <f>IF(AND(OR($C$3="All", $C$3="", A38=$C$3), OR($C$4="All", $C$4="", B38=$C$4)), D38-E38*3, NA())</f>
        <v/>
      </c>
      <c r="G38" s="6">
        <f>IF(AND(OR($C$3="All", $C$3="", A38=$C$3), OR($C$4="All", $C$4="", B38=$C$4)), D38-E38*6, NA())</f>
        <v/>
      </c>
    </row>
    <row r="39">
      <c r="A39" s="5" t="inlineStr">
        <is>
          <t>poly(ethylene oxide)</t>
        </is>
      </c>
      <c r="B39" s="5" t="inlineStr">
        <is>
          <t>deuterium oxide</t>
        </is>
      </c>
      <c r="C39" s="6" t="n"/>
      <c r="D39" s="6" t="n">
        <v>-8.101177771017927</v>
      </c>
      <c r="E39" s="6" t="n">
        <v>0.512155</v>
      </c>
      <c r="F39" s="6">
        <f>IF(AND(OR($C$3="All", $C$3="", A39=$C$3), OR($C$4="All", $C$4="", B39=$C$4)), D39-E39*3, NA())</f>
        <v/>
      </c>
      <c r="G39" s="6">
        <f>IF(AND(OR($C$3="All", $C$3="", A39=$C$3), OR($C$4="All", $C$4="", B39=$C$4)), D39-E39*6, NA())</f>
        <v/>
      </c>
    </row>
    <row r="40">
      <c r="A40" s="5" t="inlineStr">
        <is>
          <t>poly(ethylene oxide)</t>
        </is>
      </c>
      <c r="B40" s="5" t="inlineStr">
        <is>
          <t>deuterium oxide</t>
        </is>
      </c>
      <c r="C40" s="6" t="n"/>
      <c r="D40" s="6" t="n">
        <v>-7.877194537152556</v>
      </c>
      <c r="E40" s="6" t="n">
        <v>0.5723</v>
      </c>
      <c r="F40" s="6">
        <f>IF(AND(OR($C$3="All", $C$3="", A40=$C$3), OR($C$4="All", $C$4="", B40=$C$4)), D40-E40*3, NA())</f>
        <v/>
      </c>
      <c r="G40" s="6">
        <f>IF(AND(OR($C$3="All", $C$3="", A40=$C$3), OR($C$4="All", $C$4="", B40=$C$4)), D40-E40*6, NA())</f>
        <v/>
      </c>
    </row>
    <row r="41">
      <c r="A41" s="5" t="inlineStr">
        <is>
          <t>poly(ethylene oxide)</t>
        </is>
      </c>
      <c r="B41" s="5" t="inlineStr">
        <is>
          <t>deuterium oxide</t>
        </is>
      </c>
      <c r="C41" s="6" t="n"/>
      <c r="D41" s="6" t="n">
        <v>-7.877194537152556</v>
      </c>
      <c r="E41" s="6" t="n">
        <v>0.5723</v>
      </c>
      <c r="F41" s="6">
        <f>IF(AND(OR($C$3="All", $C$3="", A41=$C$3), OR($C$4="All", $C$4="", B41=$C$4)), D41-E41*3, NA())</f>
        <v/>
      </c>
      <c r="G41" s="6">
        <f>IF(AND(OR($C$3="All", $C$3="", A41=$C$3), OR($C$4="All", $C$4="", B41=$C$4)), D41-E41*6, NA())</f>
        <v/>
      </c>
    </row>
    <row r="42">
      <c r="A42" s="5" t="inlineStr">
        <is>
          <t>poly(ethylene oxide)</t>
        </is>
      </c>
      <c r="B42" s="5" t="inlineStr">
        <is>
          <t>deuterium oxide</t>
        </is>
      </c>
      <c r="C42" s="6" t="n"/>
      <c r="D42" s="6" t="n">
        <v>-7.842301520724484</v>
      </c>
      <c r="E42" s="6" t="n">
        <v>0.55987</v>
      </c>
      <c r="F42" s="6">
        <f>IF(AND(OR($C$3="All", $C$3="", A42=$C$3), OR($C$4="All", $C$4="", B42=$C$4)), D42-E42*3, NA())</f>
        <v/>
      </c>
      <c r="G42" s="6">
        <f>IF(AND(OR($C$3="All", $C$3="", A42=$C$3), OR($C$4="All", $C$4="", B42=$C$4)), D42-E42*6, NA())</f>
        <v/>
      </c>
    </row>
    <row r="43">
      <c r="A43" s="5" t="inlineStr">
        <is>
          <t>poly(ethylene oxide)</t>
        </is>
      </c>
      <c r="B43" s="5" t="inlineStr">
        <is>
          <t>deuterium oxide</t>
        </is>
      </c>
      <c r="C43" s="6" t="n"/>
      <c r="D43" s="6" t="n">
        <v>-7.717785866937665</v>
      </c>
      <c r="E43" s="6" t="n">
        <v>0.5633899999999999</v>
      </c>
      <c r="F43" s="6">
        <f>IF(AND(OR($C$3="All", $C$3="", A43=$C$3), OR($C$4="All", $C$4="", B43=$C$4)), D43-E43*3, NA())</f>
        <v/>
      </c>
      <c r="G43" s="6">
        <f>IF(AND(OR($C$3="All", $C$3="", A43=$C$3), OR($C$4="All", $C$4="", B43=$C$4)), D43-E43*6, NA())</f>
        <v/>
      </c>
    </row>
    <row r="44">
      <c r="A44" s="5" t="inlineStr">
        <is>
          <t>poly(ethylene oxide)</t>
        </is>
      </c>
      <c r="B44" s="5" t="inlineStr">
        <is>
          <t>deuterium oxide</t>
        </is>
      </c>
      <c r="C44" s="6" t="n"/>
      <c r="D44" s="6" t="n">
        <v>-7.625031813700766</v>
      </c>
      <c r="E44" s="6" t="n">
        <v>0.55747</v>
      </c>
      <c r="F44" s="6">
        <f>IF(AND(OR($C$3="All", $C$3="", A44=$C$3), OR($C$4="All", $C$4="", B44=$C$4)), D44-E44*3, NA())</f>
        <v/>
      </c>
      <c r="G44" s="6">
        <f>IF(AND(OR($C$3="All", $C$3="", A44=$C$3), OR($C$4="All", $C$4="", B44=$C$4)), D44-E44*6, NA())</f>
        <v/>
      </c>
    </row>
    <row r="45">
      <c r="A45" s="5" t="inlineStr">
        <is>
          <t>poly(ethylene oxide)</t>
        </is>
      </c>
      <c r="B45" s="5" t="inlineStr">
        <is>
          <t>deuterium oxide</t>
        </is>
      </c>
      <c r="C45" s="6" t="n"/>
      <c r="D45" s="6" t="n">
        <v>-7.556330296503602</v>
      </c>
      <c r="E45" s="6" t="n">
        <v>0.55169</v>
      </c>
      <c r="F45" s="6">
        <f>IF(AND(OR($C$3="All", $C$3="", A45=$C$3), OR($C$4="All", $C$4="", B45=$C$4)), D45-E45*3, NA())</f>
        <v/>
      </c>
      <c r="G45" s="6">
        <f>IF(AND(OR($C$3="All", $C$3="", A45=$C$3), OR($C$4="All", $C$4="", B45=$C$4)), D45-E45*6, NA())</f>
        <v/>
      </c>
    </row>
    <row r="46">
      <c r="A46" s="5" t="inlineStr">
        <is>
          <t>poly(ethylene oxide)</t>
        </is>
      </c>
      <c r="B46" s="5" t="inlineStr">
        <is>
          <t>methanol-d4</t>
        </is>
      </c>
      <c r="C46" s="6" t="n"/>
      <c r="D46" s="6" t="n">
        <v>-8.06</v>
      </c>
      <c r="E46" s="6" t="n">
        <v>0.45</v>
      </c>
      <c r="F46" s="6">
        <f>IF(AND(OR($C$3="All", $C$3="", A46=$C$3), OR($C$4="All", $C$4="", B46=$C$4)), D46-E46*3, NA())</f>
        <v/>
      </c>
      <c r="G46" s="6">
        <f>IF(AND(OR($C$3="All", $C$3="", A46=$C$3), OR($C$4="All", $C$4="", B46=$C$4)), D46-E46*6, NA())</f>
        <v/>
      </c>
    </row>
    <row r="47">
      <c r="A47" s="5" t="inlineStr">
        <is>
          <t>poly(ethylene oxide)</t>
        </is>
      </c>
      <c r="B47" s="5" t="inlineStr">
        <is>
          <t>methanol-d4</t>
        </is>
      </c>
      <c r="C47" s="6" t="n"/>
      <c r="D47" s="6" t="n">
        <v>-7.843617451027789</v>
      </c>
      <c r="E47" s="6" t="n">
        <v>0.504105</v>
      </c>
      <c r="F47" s="6">
        <f>IF(AND(OR($C$3="All", $C$3="", A47=$C$3), OR($C$4="All", $C$4="", B47=$C$4)), D47-E47*3, NA())</f>
        <v/>
      </c>
      <c r="G47" s="6">
        <f>IF(AND(OR($C$3="All", $C$3="", A47=$C$3), OR($C$4="All", $C$4="", B47=$C$4)), D47-E47*6, NA())</f>
        <v/>
      </c>
    </row>
    <row r="48">
      <c r="A48" s="5" t="inlineStr">
        <is>
          <t>poly(ethylene oxide)</t>
        </is>
      </c>
      <c r="B48" s="5" t="inlineStr">
        <is>
          <t>methanol-d4</t>
        </is>
      </c>
      <c r="C48" s="6" t="n"/>
      <c r="D48" s="6" t="n">
        <v>-7.591607379866639</v>
      </c>
      <c r="E48" s="6" t="n">
        <v>0.57021</v>
      </c>
      <c r="F48" s="6">
        <f>IF(AND(OR($C$3="All", $C$3="", A48=$C$3), OR($C$4="All", $C$4="", B48=$C$4)), D48-E48*3, NA())</f>
        <v/>
      </c>
      <c r="G48" s="6">
        <f>IF(AND(OR($C$3="All", $C$3="", A48=$C$3), OR($C$4="All", $C$4="", B48=$C$4)), D48-E48*6, NA())</f>
        <v/>
      </c>
    </row>
    <row r="49">
      <c r="A49" s="5" t="inlineStr">
        <is>
          <t>poly(ethylene oxide)</t>
        </is>
      </c>
      <c r="B49" s="5" t="inlineStr">
        <is>
          <t>poly(ethylene oxide)</t>
        </is>
      </c>
      <c r="C49" s="6" t="n"/>
      <c r="D49" s="6" t="n">
        <v>-8.039999999999999</v>
      </c>
      <c r="E49" s="6" t="n">
        <v>0.45</v>
      </c>
      <c r="F49" s="6">
        <f>IF(AND(OR($C$3="All", $C$3="", A49=$C$3), OR($C$4="All", $C$4="", B49=$C$4)), D49-E49*3, NA())</f>
        <v/>
      </c>
      <c r="G49" s="6">
        <f>IF(AND(OR($C$3="All", $C$3="", A49=$C$3), OR($C$4="All", $C$4="", B49=$C$4)), D49-E49*6, NA())</f>
        <v/>
      </c>
    </row>
    <row r="50">
      <c r="A50" s="5" t="inlineStr">
        <is>
          <t>poly(ethylene oxide)</t>
        </is>
      </c>
      <c r="B50" s="5" t="inlineStr">
        <is>
          <t>tetrahydrofuran</t>
        </is>
      </c>
      <c r="C50" s="6" t="n"/>
      <c r="D50" s="6" t="n">
        <v>-7.94</v>
      </c>
      <c r="E50" s="6" t="n">
        <v>0.46</v>
      </c>
      <c r="F50" s="6">
        <f>IF(AND(OR($C$3="All", $C$3="", A50=$C$3), OR($C$4="All", $C$4="", B50=$C$4)), D50-E50*3, NA())</f>
        <v/>
      </c>
      <c r="G50" s="6">
        <f>IF(AND(OR($C$3="All", $C$3="", A50=$C$3), OR($C$4="All", $C$4="", B50=$C$4)), D50-E50*6, NA())</f>
        <v/>
      </c>
    </row>
    <row r="51">
      <c r="A51" s="5" t="inlineStr">
        <is>
          <t>poly(ethylene oxide)</t>
        </is>
      </c>
      <c r="B51" s="5" t="inlineStr">
        <is>
          <t>tetrahydrofuran</t>
        </is>
      </c>
      <c r="C51" s="6" t="n"/>
      <c r="D51" s="6" t="n">
        <v>-7.478914244084677</v>
      </c>
      <c r="E51" s="6" t="n">
        <v>0.58062</v>
      </c>
      <c r="F51" s="6">
        <f>IF(AND(OR($C$3="All", $C$3="", A51=$C$3), OR($C$4="All", $C$4="", B51=$C$4)), D51-E51*3, NA())</f>
        <v/>
      </c>
      <c r="G51" s="6">
        <f>IF(AND(OR($C$3="All", $C$3="", A51=$C$3), OR($C$4="All", $C$4="", B51=$C$4)), D51-E51*6, NA())</f>
        <v/>
      </c>
    </row>
    <row r="52">
      <c r="A52" s="5" t="inlineStr">
        <is>
          <t>poly(methyl methacrylate)</t>
        </is>
      </c>
      <c r="B52" s="5" t="inlineStr">
        <is>
          <t>acetone</t>
        </is>
      </c>
      <c r="C52" s="6" t="n"/>
      <c r="D52" s="6" t="n">
        <v>-7.74</v>
      </c>
      <c r="E52" s="6" t="n">
        <v>0.44</v>
      </c>
      <c r="F52" s="6">
        <f>IF(AND(OR($C$3="All", $C$3="", A52=$C$3), OR($C$4="All", $C$4="", B52=$C$4)), D52-E52*3, NA())</f>
        <v/>
      </c>
      <c r="G52" s="6">
        <f>IF(AND(OR($C$3="All", $C$3="", A52=$C$3), OR($C$4="All", $C$4="", B52=$C$4)), D52-E52*6, NA())</f>
        <v/>
      </c>
    </row>
    <row r="53">
      <c r="A53" s="5" t="inlineStr">
        <is>
          <t>poly(methyl methacrylate)</t>
        </is>
      </c>
      <c r="B53" s="5" t="inlineStr">
        <is>
          <t>benzene</t>
        </is>
      </c>
      <c r="C53" s="6" t="n"/>
      <c r="D53" s="6" t="n">
        <v>-7.91</v>
      </c>
      <c r="E53" s="6" t="n">
        <v>0.48</v>
      </c>
      <c r="F53" s="6">
        <f>IF(AND(OR($C$3="All", $C$3="", A53=$C$3), OR($C$4="All", $C$4="", B53=$C$4)), D53-E53*3, NA())</f>
        <v/>
      </c>
      <c r="G53" s="6">
        <f>IF(AND(OR($C$3="All", $C$3="", A53=$C$3), OR($C$4="All", $C$4="", B53=$C$4)), D53-E53*6, NA())</f>
        <v/>
      </c>
    </row>
    <row r="54">
      <c r="A54" s="5" t="inlineStr">
        <is>
          <t>poly(methyl methacrylate)</t>
        </is>
      </c>
      <c r="B54" s="5" t="inlineStr">
        <is>
          <t>benzene</t>
        </is>
      </c>
      <c r="C54" s="6" t="n"/>
      <c r="D54" s="6" t="n">
        <v>-7.683956229316216</v>
      </c>
      <c r="E54" s="6" t="n">
        <v>0.530394</v>
      </c>
      <c r="F54" s="6">
        <f>IF(AND(OR($C$3="All", $C$3="", A54=$C$3), OR($C$4="All", $C$4="", B54=$C$4)), D54-E54*3, NA())</f>
        <v/>
      </c>
      <c r="G54" s="6">
        <f>IF(AND(OR($C$3="All", $C$3="", A54=$C$3), OR($C$4="All", $C$4="", B54=$C$4)), D54-E54*6, NA())</f>
        <v/>
      </c>
    </row>
    <row r="55">
      <c r="A55" s="5" t="inlineStr">
        <is>
          <t>poly(methyl methacrylate)</t>
        </is>
      </c>
      <c r="B55" s="5" t="inlineStr">
        <is>
          <t>benzene</t>
        </is>
      </c>
      <c r="C55" s="6" t="n"/>
      <c r="D55" s="6" t="n">
        <v>-7.528356300958614</v>
      </c>
      <c r="E55" s="6" t="n">
        <v>0.56913</v>
      </c>
      <c r="F55" s="6">
        <f>IF(AND(OR($C$3="All", $C$3="", A55=$C$3), OR($C$4="All", $C$4="", B55=$C$4)), D55-E55*3, NA())</f>
        <v/>
      </c>
      <c r="G55" s="6">
        <f>IF(AND(OR($C$3="All", $C$3="", A55=$C$3), OR($C$4="All", $C$4="", B55=$C$4)), D55-E55*6, NA())</f>
        <v/>
      </c>
    </row>
    <row r="56">
      <c r="A56" s="5" t="inlineStr">
        <is>
          <t>poly(methyl methacrylate)</t>
        </is>
      </c>
      <c r="B56" s="5" t="inlineStr">
        <is>
          <t>benzene</t>
        </is>
      </c>
      <c r="C56" s="6" t="n"/>
      <c r="D56" s="6" t="n">
        <v>-7.696566333993796</v>
      </c>
      <c r="E56" s="6" t="n">
        <v>0.52734</v>
      </c>
      <c r="F56" s="6">
        <f>IF(AND(OR($C$3="All", $C$3="", A56=$C$3), OR($C$4="All", $C$4="", B56=$C$4)), D56-E56*3, NA())</f>
        <v/>
      </c>
      <c r="G56" s="6">
        <f>IF(AND(OR($C$3="All", $C$3="", A56=$C$3), OR($C$4="All", $C$4="", B56=$C$4)), D56-E56*6, NA())</f>
        <v/>
      </c>
    </row>
    <row r="57">
      <c r="A57" s="5" t="inlineStr">
        <is>
          <t>poly(methyl methacrylate)</t>
        </is>
      </c>
      <c r="B57" s="5" t="inlineStr">
        <is>
          <t>benzene</t>
        </is>
      </c>
      <c r="C57" s="6" t="n"/>
      <c r="D57" s="6" t="n">
        <v>-7.623331814189471</v>
      </c>
      <c r="E57" s="6" t="n">
        <v>0.52996</v>
      </c>
      <c r="F57" s="6">
        <f>IF(AND(OR($C$3="All", $C$3="", A57=$C$3), OR($C$4="All", $C$4="", B57=$C$4)), D57-E57*3, NA())</f>
        <v/>
      </c>
      <c r="G57" s="6">
        <f>IF(AND(OR($C$3="All", $C$3="", A57=$C$3), OR($C$4="All", $C$4="", B57=$C$4)), D57-E57*6, NA())</f>
        <v/>
      </c>
    </row>
    <row r="58">
      <c r="A58" s="5" t="inlineStr">
        <is>
          <t>poly(methyl methacrylate)</t>
        </is>
      </c>
      <c r="B58" s="5" t="inlineStr">
        <is>
          <t>benzene</t>
        </is>
      </c>
      <c r="C58" s="6" t="n"/>
      <c r="D58" s="6" t="n">
        <v>-7.58838029403677</v>
      </c>
      <c r="E58" s="6" t="n">
        <v>0.52552</v>
      </c>
      <c r="F58" s="6">
        <f>IF(AND(OR($C$3="All", $C$3="", A58=$C$3), OR($C$4="All", $C$4="", B58=$C$4)), D58-E58*3, NA())</f>
        <v/>
      </c>
      <c r="G58" s="6">
        <f>IF(AND(OR($C$3="All", $C$3="", A58=$C$3), OR($C$4="All", $C$4="", B58=$C$4)), D58-E58*6, NA())</f>
        <v/>
      </c>
    </row>
    <row r="59">
      <c r="A59" s="5" t="inlineStr">
        <is>
          <t>poly(methyl methacrylate)</t>
        </is>
      </c>
      <c r="B59" s="5" t="inlineStr">
        <is>
          <t>benzene</t>
        </is>
      </c>
      <c r="C59" s="6" t="n"/>
      <c r="D59" s="6" t="n">
        <v>-7.512607063941288</v>
      </c>
      <c r="E59" s="6" t="n">
        <v>0.53221</v>
      </c>
      <c r="F59" s="6">
        <f>IF(AND(OR($C$3="All", $C$3="", A59=$C$3), OR($C$4="All", $C$4="", B59=$C$4)), D59-E59*3, NA())</f>
        <v/>
      </c>
      <c r="G59" s="6">
        <f>IF(AND(OR($C$3="All", $C$3="", A59=$C$3), OR($C$4="All", $C$4="", B59=$C$4)), D59-E59*6, NA())</f>
        <v/>
      </c>
    </row>
    <row r="60">
      <c r="A60" s="5" t="inlineStr">
        <is>
          <t>poly(methyl methacrylate)</t>
        </is>
      </c>
      <c r="B60" s="5" t="inlineStr">
        <is>
          <t>benzene</t>
        </is>
      </c>
      <c r="C60" s="6" t="n"/>
      <c r="D60" s="6" t="n">
        <v>-7.534364379446671</v>
      </c>
      <c r="E60" s="6" t="n">
        <v>0.51415</v>
      </c>
      <c r="F60" s="6">
        <f>IF(AND(OR($C$3="All", $C$3="", A60=$C$3), OR($C$4="All", $C$4="", B60=$C$4)), D60-E60*3, NA())</f>
        <v/>
      </c>
      <c r="G60" s="6">
        <f>IF(AND(OR($C$3="All", $C$3="", A60=$C$3), OR($C$4="All", $C$4="", B60=$C$4)), D60-E60*6, NA())</f>
        <v/>
      </c>
    </row>
    <row r="61">
      <c r="A61" s="5" t="inlineStr">
        <is>
          <t>poly(methyl methacrylate)</t>
        </is>
      </c>
      <c r="B61" s="5" t="inlineStr">
        <is>
          <t>benzene</t>
        </is>
      </c>
      <c r="C61" s="6" t="n"/>
      <c r="D61" s="6" t="n">
        <v>-7.486103513077076</v>
      </c>
      <c r="E61" s="6" t="n">
        <v>0.51461</v>
      </c>
      <c r="F61" s="6">
        <f>IF(AND(OR($C$3="All", $C$3="", A61=$C$3), OR($C$4="All", $C$4="", B61=$C$4)), D61-E61*3, NA())</f>
        <v/>
      </c>
      <c r="G61" s="6">
        <f>IF(AND(OR($C$3="All", $C$3="", A61=$C$3), OR($C$4="All", $C$4="", B61=$C$4)), D61-E61*6, NA())</f>
        <v/>
      </c>
    </row>
    <row r="62">
      <c r="A62" s="5" t="inlineStr">
        <is>
          <t>poly(methyl methacrylate)</t>
        </is>
      </c>
      <c r="B62" s="5" t="inlineStr">
        <is>
          <t>chloroform-d</t>
        </is>
      </c>
      <c r="C62" s="6" t="inlineStr">
        <is>
          <t>Not found</t>
        </is>
      </c>
      <c r="D62" s="6" t="n">
        <v>-7.53</v>
      </c>
      <c r="E62" s="6" t="n">
        <v>0.5600000000000001</v>
      </c>
      <c r="F62" s="6">
        <f>IF(AND(OR($C$3="All", $C$3="", A62=$C$3), OR($C$4="All", $C$4="", B62=$C$4)), D62-E62*3, NA())</f>
        <v/>
      </c>
      <c r="G62" s="6">
        <f>IF(AND(OR($C$3="All", $C$3="", A62=$C$3), OR($C$4="All", $C$4="", B62=$C$4)), D62-E62*6, NA())</f>
        <v/>
      </c>
    </row>
    <row r="63">
      <c r="A63" s="5" t="inlineStr">
        <is>
          <t>poly(methyl methacrylate)</t>
        </is>
      </c>
      <c r="B63" s="5" t="inlineStr">
        <is>
          <t>chloroform-d</t>
        </is>
      </c>
      <c r="C63" s="6" t="n"/>
      <c r="D63" s="6" t="n">
        <v>-7.579851091223765</v>
      </c>
      <c r="E63" s="6" t="n">
        <v>0.543219</v>
      </c>
      <c r="F63" s="6">
        <f>IF(AND(OR($C$3="All", $C$3="", A63=$C$3), OR($C$4="All", $C$4="", B63=$C$4)), D63-E63*3, NA())</f>
        <v/>
      </c>
      <c r="G63" s="6">
        <f>IF(AND(OR($C$3="All", $C$3="", A63=$C$3), OR($C$4="All", $C$4="", B63=$C$4)), D63-E63*6, NA())</f>
        <v/>
      </c>
    </row>
    <row r="64">
      <c r="A64" s="5" t="inlineStr">
        <is>
          <t>poly(methyl methacrylate)</t>
        </is>
      </c>
      <c r="B64" s="5" t="inlineStr">
        <is>
          <t>chloroform-d</t>
        </is>
      </c>
      <c r="C64" s="6" t="n"/>
      <c r="D64" s="6" t="n">
        <v>-7.416619835412931</v>
      </c>
      <c r="E64" s="6" t="n">
        <v>0.58372</v>
      </c>
      <c r="F64" s="6">
        <f>IF(AND(OR($C$3="All", $C$3="", A64=$C$3), OR($C$4="All", $C$4="", B64=$C$4)), D64-E64*3, NA())</f>
        <v/>
      </c>
      <c r="G64" s="6">
        <f>IF(AND(OR($C$3="All", $C$3="", A64=$C$3), OR($C$4="All", $C$4="", B64=$C$4)), D64-E64*6, NA())</f>
        <v/>
      </c>
    </row>
    <row r="65">
      <c r="A65" s="5" t="inlineStr">
        <is>
          <t>poly(methyl methacrylate)</t>
        </is>
      </c>
      <c r="B65" s="5" t="inlineStr">
        <is>
          <t>dichloromethane</t>
        </is>
      </c>
      <c r="C65" s="6" t="n"/>
      <c r="D65" s="6" t="n">
        <v>-7.48967889681907</v>
      </c>
      <c r="E65" s="6" t="n">
        <v>0.53678</v>
      </c>
      <c r="F65" s="6">
        <f>IF(AND(OR($C$3="All", $C$3="", A65=$C$3), OR($C$4="All", $C$4="", B65=$C$4)), D65-E65*3, NA())</f>
        <v/>
      </c>
      <c r="G65" s="6">
        <f>IF(AND(OR($C$3="All", $C$3="", A65=$C$3), OR($C$4="All", $C$4="", B65=$C$4)), D65-E65*6, NA())</f>
        <v/>
      </c>
    </row>
    <row r="66">
      <c r="A66" s="5" t="inlineStr">
        <is>
          <t>poly(methyl methacrylate)</t>
        </is>
      </c>
      <c r="B66" s="5" t="inlineStr">
        <is>
          <t>dichloromethane</t>
        </is>
      </c>
      <c r="C66" s="6" t="n"/>
      <c r="D66" s="6" t="n">
        <v>-7.285687008705199</v>
      </c>
      <c r="E66" s="6" t="n">
        <v>0.58736</v>
      </c>
      <c r="F66" s="6">
        <f>IF(AND(OR($C$3="All", $C$3="", A66=$C$3), OR($C$4="All", $C$4="", B66=$C$4)), D66-E66*3, NA())</f>
        <v/>
      </c>
      <c r="G66" s="6">
        <f>IF(AND(OR($C$3="All", $C$3="", A66=$C$3), OR($C$4="All", $C$4="", B66=$C$4)), D66-E66*6, NA())</f>
        <v/>
      </c>
    </row>
    <row r="67">
      <c r="A67" s="5" t="inlineStr">
        <is>
          <t>poly(methyl methacrylate)</t>
        </is>
      </c>
      <c r="B67" s="5" t="inlineStr">
        <is>
          <t>dimethyl sulfoxide</t>
        </is>
      </c>
      <c r="C67" s="6" t="n"/>
      <c r="D67" s="6" t="n">
        <v>-8.505773029599105</v>
      </c>
      <c r="E67" s="6" t="n">
        <v>0.444236</v>
      </c>
      <c r="F67" s="6">
        <f>IF(AND(OR($C$3="All", $C$3="", A67=$C$3), OR($C$4="All", $C$4="", B67=$C$4)), D67-E67*3, NA())</f>
        <v/>
      </c>
      <c r="G67" s="6">
        <f>IF(AND(OR($C$3="All", $C$3="", A67=$C$3), OR($C$4="All", $C$4="", B67=$C$4)), D67-E67*6, NA())</f>
        <v/>
      </c>
    </row>
    <row r="68">
      <c r="A68" s="5" t="inlineStr">
        <is>
          <t>poly(methyl methacrylate)</t>
        </is>
      </c>
      <c r="B68" s="5" t="inlineStr">
        <is>
          <t>dimethyl sulfoxide</t>
        </is>
      </c>
      <c r="C68" s="6" t="n"/>
      <c r="D68" s="6" t="n">
        <v>-8.505775813083098</v>
      </c>
      <c r="E68" s="6" t="n">
        <v>0.44424</v>
      </c>
      <c r="F68" s="6">
        <f>IF(AND(OR($C$3="All", $C$3="", A68=$C$3), OR($C$4="All", $C$4="", B68=$C$4)), D68-E68*3, NA())</f>
        <v/>
      </c>
      <c r="G68" s="6">
        <f>IF(AND(OR($C$3="All", $C$3="", A68=$C$3), OR($C$4="All", $C$4="", B68=$C$4)), D68-E68*6, NA())</f>
        <v/>
      </c>
    </row>
    <row r="69">
      <c r="A69" s="5" t="inlineStr">
        <is>
          <t>poly(methyl methacrylate)</t>
        </is>
      </c>
      <c r="B69" s="5" t="inlineStr">
        <is>
          <t>tetrahydrofuran</t>
        </is>
      </c>
      <c r="C69" s="6" t="n"/>
      <c r="D69" s="6" t="n">
        <v>-8.02</v>
      </c>
      <c r="E69" s="6" t="n">
        <v>0.43</v>
      </c>
      <c r="F69" s="6">
        <f>IF(AND(OR($C$3="All", $C$3="", A69=$C$3), OR($C$4="All", $C$4="", B69=$C$4)), D69-E69*3, NA())</f>
        <v/>
      </c>
      <c r="G69" s="6">
        <f>IF(AND(OR($C$3="All", $C$3="", A69=$C$3), OR($C$4="All", $C$4="", B69=$C$4)), D69-E69*6, NA())</f>
        <v/>
      </c>
    </row>
    <row r="70">
      <c r="A70" s="5" t="inlineStr">
        <is>
          <t>poly(methyl methacrylate)</t>
        </is>
      </c>
      <c r="B70" s="5" t="inlineStr">
        <is>
          <t>tetrahydrofuran</t>
        </is>
      </c>
      <c r="C70" s="6" t="n"/>
      <c r="D70" s="6" t="n">
        <v>-7.61465473895388</v>
      </c>
      <c r="E70" s="6" t="n">
        <v>0.517608</v>
      </c>
      <c r="F70" s="6">
        <f>IF(AND(OR($C$3="All", $C$3="", A70=$C$3), OR($C$4="All", $C$4="", B70=$C$4)), D70-E70*3, NA())</f>
        <v/>
      </c>
      <c r="G70" s="6">
        <f>IF(AND(OR($C$3="All", $C$3="", A70=$C$3), OR($C$4="All", $C$4="", B70=$C$4)), D70-E70*6, NA())</f>
        <v/>
      </c>
    </row>
    <row r="71">
      <c r="A71" s="5" t="inlineStr">
        <is>
          <t>poly(methyl methacrylate)</t>
        </is>
      </c>
      <c r="B71" s="5" t="inlineStr">
        <is>
          <t>tetrahydrofuran</t>
        </is>
      </c>
      <c r="C71" s="6" t="n"/>
      <c r="D71" s="6" t="n">
        <v>-7.434234799547848</v>
      </c>
      <c r="E71" s="6" t="n">
        <v>0.5624</v>
      </c>
      <c r="F71" s="6">
        <f>IF(AND(OR($C$3="All", $C$3="", A71=$C$3), OR($C$4="All", $C$4="", B71=$C$4)), D71-E71*3, NA())</f>
        <v/>
      </c>
      <c r="G71" s="6">
        <f>IF(AND(OR($C$3="All", $C$3="", A71=$C$3), OR($C$4="All", $C$4="", B71=$C$4)), D71-E71*6, NA())</f>
        <v/>
      </c>
    </row>
    <row r="72">
      <c r="A72" s="5" t="inlineStr">
        <is>
          <t>poly(methyl methacrylate)</t>
        </is>
      </c>
      <c r="B72" s="5" t="inlineStr">
        <is>
          <t>toluene</t>
        </is>
      </c>
      <c r="C72" s="6" t="inlineStr">
        <is>
          <t>Not found</t>
        </is>
      </c>
      <c r="D72" s="6" t="n">
        <v>-7.72</v>
      </c>
      <c r="E72" s="6" t="n">
        <v>0.5</v>
      </c>
      <c r="F72" s="6">
        <f>IF(AND(OR($C$3="All", $C$3="", A72=$C$3), OR($C$4="All", $C$4="", B72=$C$4)), D72-E72*3, NA())</f>
        <v/>
      </c>
      <c r="G72" s="6">
        <f>IF(AND(OR($C$3="All", $C$3="", A72=$C$3), OR($C$4="All", $C$4="", B72=$C$4)), D72-E72*6, NA())</f>
        <v/>
      </c>
    </row>
    <row r="73">
      <c r="A73" s="5" t="inlineStr">
        <is>
          <t>poly(methyl methacrylate)</t>
        </is>
      </c>
      <c r="B73" s="5" t="inlineStr">
        <is>
          <t>toluene</t>
        </is>
      </c>
      <c r="C73" s="6" t="n"/>
      <c r="D73" s="6" t="n">
        <v>-8.109999999999999</v>
      </c>
      <c r="E73" s="6" t="n">
        <v>0.43</v>
      </c>
      <c r="F73" s="6">
        <f>IF(AND(OR($C$3="All", $C$3="", A73=$C$3), OR($C$4="All", $C$4="", B73=$C$4)), D73-E73*3, NA())</f>
        <v/>
      </c>
      <c r="G73" s="6">
        <f>IF(AND(OR($C$3="All", $C$3="", A73=$C$3), OR($C$4="All", $C$4="", B73=$C$4)), D73-E73*6, NA())</f>
        <v/>
      </c>
    </row>
    <row r="74">
      <c r="A74" s="5" t="inlineStr">
        <is>
          <t>polyimide</t>
        </is>
      </c>
      <c r="B74" s="5" t="inlineStr">
        <is>
          <t>benzene</t>
        </is>
      </c>
      <c r="C74" s="6" t="n"/>
      <c r="D74" s="6" t="n">
        <v>-7.388584736177106</v>
      </c>
      <c r="E74" s="6" t="n">
        <v>0.61614</v>
      </c>
      <c r="F74" s="6">
        <f>IF(AND(OR($C$3="All", $C$3="", A74=$C$3), OR($C$4="All", $C$4="", B74=$C$4)), D74-E74*3, NA())</f>
        <v/>
      </c>
      <c r="G74" s="6">
        <f>IF(AND(OR($C$3="All", $C$3="", A74=$C$3), OR($C$4="All", $C$4="", B74=$C$4)), D74-E74*6, NA())</f>
        <v/>
      </c>
    </row>
    <row r="75">
      <c r="A75" s="5" t="inlineStr">
        <is>
          <t>polyimide</t>
        </is>
      </c>
      <c r="B75" s="5" t="inlineStr">
        <is>
          <t>chloroform-d</t>
        </is>
      </c>
      <c r="C75" s="6" t="n"/>
      <c r="D75" s="6" t="n">
        <v>-7.298285260295005</v>
      </c>
      <c r="E75" s="6" t="n">
        <v>0.62721</v>
      </c>
      <c r="F75" s="6">
        <f>IF(AND(OR($C$3="All", $C$3="", A75=$C$3), OR($C$4="All", $C$4="", B75=$C$4)), D75-E75*3, NA())</f>
        <v/>
      </c>
      <c r="G75" s="6">
        <f>IF(AND(OR($C$3="All", $C$3="", A75=$C$3), OR($C$4="All", $C$4="", B75=$C$4)), D75-E75*6, NA())</f>
        <v/>
      </c>
    </row>
    <row r="76">
      <c r="A76" s="5" t="inlineStr">
        <is>
          <t>polyimide</t>
        </is>
      </c>
      <c r="B76" s="5" t="inlineStr">
        <is>
          <t>dichloromethane</t>
        </is>
      </c>
      <c r="C76" s="6" t="n"/>
      <c r="D76" s="6" t="n">
        <v>-7.380124391499957</v>
      </c>
      <c r="E76" s="6" t="n">
        <v>0.57317</v>
      </c>
      <c r="F76" s="6">
        <f>IF(AND(OR($C$3="All", $C$3="", A76=$C$3), OR($C$4="All", $C$4="", B76=$C$4)), D76-E76*3, NA())</f>
        <v/>
      </c>
      <c r="G76" s="6">
        <f>IF(AND(OR($C$3="All", $C$3="", A76=$C$3), OR($C$4="All", $C$4="", B76=$C$4)), D76-E76*6, NA())</f>
        <v/>
      </c>
    </row>
    <row r="77">
      <c r="A77" s="5" t="inlineStr">
        <is>
          <t>polyimide</t>
        </is>
      </c>
      <c r="B77" s="5" t="inlineStr">
        <is>
          <t>tetrahydrofuran</t>
        </is>
      </c>
      <c r="C77" s="6" t="n"/>
      <c r="D77" s="6" t="n">
        <v>-7.330497165895657</v>
      </c>
      <c r="E77" s="6" t="n">
        <v>0.60811</v>
      </c>
      <c r="F77" s="6">
        <f>IF(AND(OR($C$3="All", $C$3="", A77=$C$3), OR($C$4="All", $C$4="", B77=$C$4)), D77-E77*3, NA())</f>
        <v/>
      </c>
      <c r="G77" s="6">
        <f>IF(AND(OR($C$3="All", $C$3="", A77=$C$3), OR($C$4="All", $C$4="", B77=$C$4)), D77-E77*6, NA())</f>
        <v/>
      </c>
    </row>
    <row r="78">
      <c r="A78" s="5" t="inlineStr">
        <is>
          <t>polymer_name</t>
        </is>
      </c>
      <c r="B78" s="5" t="inlineStr">
        <is>
          <t>acetone</t>
        </is>
      </c>
      <c r="C78" s="6" t="n"/>
      <c r="D78" s="6" t="n">
        <v>-7.78</v>
      </c>
      <c r="E78" s="6" t="n">
        <v>0.43</v>
      </c>
      <c r="F78" s="6">
        <f>IF(AND(OR($C$3="All", $C$3="", A78=$C$3), OR($C$4="All", $C$4="", B78=$C$4)), D78-E78*3, NA())</f>
        <v/>
      </c>
      <c r="G78" s="6">
        <f>IF(AND(OR($C$3="All", $C$3="", A78=$C$3), OR($C$4="All", $C$4="", B78=$C$4)), D78-E78*6, NA())</f>
        <v/>
      </c>
    </row>
    <row r="79">
      <c r="A79" s="5" t="inlineStr">
        <is>
          <t>polymer_name</t>
        </is>
      </c>
      <c r="B79" s="5" t="inlineStr">
        <is>
          <t>tetrahydrofuran</t>
        </is>
      </c>
      <c r="C79" s="6" t="n"/>
      <c r="D79" s="6" t="n">
        <v>-7.733838887780599</v>
      </c>
      <c r="E79" s="6" t="n">
        <v>0.513725</v>
      </c>
      <c r="F79" s="6">
        <f>IF(AND(OR($C$3="All", $C$3="", A79=$C$3), OR($C$4="All", $C$4="", B79=$C$4)), D79-E79*3, NA())</f>
        <v/>
      </c>
      <c r="G79" s="6">
        <f>IF(AND(OR($C$3="All", $C$3="", A79=$C$3), OR($C$4="All", $C$4="", B79=$C$4)), D79-E79*6, NA())</f>
        <v/>
      </c>
    </row>
    <row r="80">
      <c r="A80" s="5" t="inlineStr">
        <is>
          <t>polystyrene</t>
        </is>
      </c>
      <c r="B80" s="5" t="inlineStr">
        <is>
          <t>acetone</t>
        </is>
      </c>
      <c r="C80" s="6" t="n"/>
      <c r="D80" s="6" t="n">
        <v>-7.679147780168245</v>
      </c>
      <c r="E80" s="6" t="n">
        <v>0.452089</v>
      </c>
      <c r="F80" s="6">
        <f>IF(AND(OR($C$3="All", $C$3="", A80=$C$3), OR($C$4="All", $C$4="", B80=$C$4)), D80-E80*3, NA())</f>
        <v/>
      </c>
      <c r="G80" s="6">
        <f>IF(AND(OR($C$3="All", $C$3="", A80=$C$3), OR($C$4="All", $C$4="", B80=$C$4)), D80-E80*6, NA())</f>
        <v/>
      </c>
    </row>
    <row r="81">
      <c r="A81" s="5" t="inlineStr">
        <is>
          <t>polystyrene</t>
        </is>
      </c>
      <c r="B81" s="5" t="inlineStr">
        <is>
          <t>acetone</t>
        </is>
      </c>
      <c r="C81" s="6" t="n"/>
      <c r="D81" s="6" t="n">
        <v>-7.679147780168245</v>
      </c>
      <c r="E81" s="6" t="n">
        <v>0.45209</v>
      </c>
      <c r="F81" s="6">
        <f>IF(AND(OR($C$3="All", $C$3="", A81=$C$3), OR($C$4="All", $C$4="", B81=$C$4)), D81-E81*3, NA())</f>
        <v/>
      </c>
      <c r="G81" s="6">
        <f>IF(AND(OR($C$3="All", $C$3="", A81=$C$3), OR($C$4="All", $C$4="", B81=$C$4)), D81-E81*6, NA())</f>
        <v/>
      </c>
    </row>
    <row r="82">
      <c r="A82" s="5" t="inlineStr">
        <is>
          <t>polystyrene</t>
        </is>
      </c>
      <c r="B82" s="5" t="inlineStr">
        <is>
          <t>benzene</t>
        </is>
      </c>
      <c r="C82" s="6" t="inlineStr">
        <is>
          <t>Not found</t>
        </is>
      </c>
      <c r="D82" s="6" t="n">
        <v>-7.7</v>
      </c>
      <c r="E82" s="6" t="n">
        <v>0.54</v>
      </c>
      <c r="F82" s="6">
        <f>IF(AND(OR($C$3="All", $C$3="", A82=$C$3), OR($C$4="All", $C$4="", B82=$C$4)), D82-E82*3, NA())</f>
        <v/>
      </c>
      <c r="G82" s="6">
        <f>IF(AND(OR($C$3="All", $C$3="", A82=$C$3), OR($C$4="All", $C$4="", B82=$C$4)), D82-E82*6, NA())</f>
        <v/>
      </c>
    </row>
    <row r="83">
      <c r="A83" s="5" t="inlineStr">
        <is>
          <t>polystyrene</t>
        </is>
      </c>
      <c r="B83" s="5" t="inlineStr">
        <is>
          <t>benzene</t>
        </is>
      </c>
      <c r="C83" s="6" t="n"/>
      <c r="D83" s="6" t="n">
        <v>-7.94</v>
      </c>
      <c r="E83" s="6" t="n">
        <v>0.49</v>
      </c>
      <c r="F83" s="6">
        <f>IF(AND(OR($C$3="All", $C$3="", A83=$C$3), OR($C$4="All", $C$4="", B83=$C$4)), D83-E83*3, NA())</f>
        <v/>
      </c>
      <c r="G83" s="6">
        <f>IF(AND(OR($C$3="All", $C$3="", A83=$C$3), OR($C$4="All", $C$4="", B83=$C$4)), D83-E83*6, NA())</f>
        <v/>
      </c>
    </row>
    <row r="84">
      <c r="A84" s="5" t="inlineStr">
        <is>
          <t>polystyrene</t>
        </is>
      </c>
      <c r="B84" s="5" t="inlineStr">
        <is>
          <t>benzene</t>
        </is>
      </c>
      <c r="C84" s="6" t="n"/>
      <c r="D84" s="6" t="n">
        <v>-7.718505297869414</v>
      </c>
      <c r="E84" s="6" t="n">
        <v>0.5283</v>
      </c>
      <c r="F84" s="6">
        <f>IF(AND(OR($C$3="All", $C$3="", A84=$C$3), OR($C$4="All", $C$4="", B84=$C$4)), D84-E84*3, NA())</f>
        <v/>
      </c>
      <c r="G84" s="6">
        <f>IF(AND(OR($C$3="All", $C$3="", A84=$C$3), OR($C$4="All", $C$4="", B84=$C$4)), D84-E84*6, NA())</f>
        <v/>
      </c>
    </row>
    <row r="85">
      <c r="A85" s="5" t="inlineStr">
        <is>
          <t>polystyrene</t>
        </is>
      </c>
      <c r="B85" s="5" t="inlineStr">
        <is>
          <t>benzene</t>
        </is>
      </c>
      <c r="C85" s="6" t="n"/>
      <c r="D85" s="6" t="n">
        <v>-7.594397544790686</v>
      </c>
      <c r="E85" s="6" t="n">
        <v>0.56041</v>
      </c>
      <c r="F85" s="6">
        <f>IF(AND(OR($C$3="All", $C$3="", A85=$C$3), OR($C$4="All", $C$4="", B85=$C$4)), D85-E85*3, NA())</f>
        <v/>
      </c>
      <c r="G85" s="6">
        <f>IF(AND(OR($C$3="All", $C$3="", A85=$C$3), OR($C$4="All", $C$4="", B85=$C$4)), D85-E85*6, NA())</f>
        <v/>
      </c>
    </row>
    <row r="86">
      <c r="A86" s="5" t="inlineStr">
        <is>
          <t>polystyrene</t>
        </is>
      </c>
      <c r="B86" s="5" t="inlineStr">
        <is>
          <t>chloroform-d</t>
        </is>
      </c>
      <c r="C86" s="6" t="n"/>
      <c r="D86" s="6" t="n">
        <v>-7.97</v>
      </c>
      <c r="E86" s="6" t="n">
        <v>0.46</v>
      </c>
      <c r="F86" s="6">
        <f>IF(AND(OR($C$3="All", $C$3="", A86=$C$3), OR($C$4="All", $C$4="", B86=$C$4)), D86-E86*3, NA())</f>
        <v/>
      </c>
      <c r="G86" s="6">
        <f>IF(AND(OR($C$3="All", $C$3="", A86=$C$3), OR($C$4="All", $C$4="", B86=$C$4)), D86-E86*6, NA())</f>
        <v/>
      </c>
    </row>
    <row r="87">
      <c r="A87" s="5" t="inlineStr">
        <is>
          <t>polystyrene</t>
        </is>
      </c>
      <c r="B87" s="5" t="inlineStr">
        <is>
          <t>chloroform-d</t>
        </is>
      </c>
      <c r="C87" s="6" t="n"/>
      <c r="D87" s="6" t="n">
        <v>-7.630222150689829</v>
      </c>
      <c r="E87" s="6" t="n">
        <v>0.534677</v>
      </c>
      <c r="F87" s="6">
        <f>IF(AND(OR($C$3="All", $C$3="", A87=$C$3), OR($C$4="All", $C$4="", B87=$C$4)), D87-E87*3, NA())</f>
        <v/>
      </c>
      <c r="G87" s="6">
        <f>IF(AND(OR($C$3="All", $C$3="", A87=$C$3), OR($C$4="All", $C$4="", B87=$C$4)), D87-E87*6, NA())</f>
        <v/>
      </c>
    </row>
    <row r="88">
      <c r="A88" s="5" t="inlineStr">
        <is>
          <t>polystyrene</t>
        </is>
      </c>
      <c r="B88" s="5" t="inlineStr">
        <is>
          <t>chloroform-d</t>
        </is>
      </c>
      <c r="C88" s="6" t="n"/>
      <c r="D88" s="6" t="n">
        <v>-7.523371224817643</v>
      </c>
      <c r="E88" s="6" t="n">
        <v>0.5623899999999999</v>
      </c>
      <c r="F88" s="6">
        <f>IF(AND(OR($C$3="All", $C$3="", A88=$C$3), OR($C$4="All", $C$4="", B88=$C$4)), D88-E88*3, NA())</f>
        <v/>
      </c>
      <c r="G88" s="6">
        <f>IF(AND(OR($C$3="All", $C$3="", A88=$C$3), OR($C$4="All", $C$4="", B88=$C$4)), D88-E88*6, NA())</f>
        <v/>
      </c>
    </row>
    <row r="89">
      <c r="A89" s="5" t="inlineStr">
        <is>
          <t>polystyrene</t>
        </is>
      </c>
      <c r="B89" s="5" t="inlineStr">
        <is>
          <t>dichloromethane</t>
        </is>
      </c>
      <c r="C89" s="6" t="n"/>
      <c r="D89" s="6" t="n">
        <v>-7.56166654250548</v>
      </c>
      <c r="E89" s="6" t="n">
        <v>0.5214530000000001</v>
      </c>
      <c r="F89" s="6">
        <f>IF(AND(OR($C$3="All", $C$3="", A89=$C$3), OR($C$4="All", $C$4="", B89=$C$4)), D89-E89*3, NA())</f>
        <v/>
      </c>
      <c r="G89" s="6">
        <f>IF(AND(OR($C$3="All", $C$3="", A89=$C$3), OR($C$4="All", $C$4="", B89=$C$4)), D89-E89*6, NA())</f>
        <v/>
      </c>
    </row>
    <row r="90">
      <c r="A90" s="5" t="inlineStr">
        <is>
          <t>polystyrene</t>
        </is>
      </c>
      <c r="B90" s="5" t="inlineStr">
        <is>
          <t>dichloromethane</t>
        </is>
      </c>
      <c r="C90" s="6" t="n"/>
      <c r="D90" s="6" t="n">
        <v>-7.406713932979542</v>
      </c>
      <c r="E90" s="6" t="n">
        <v>0.56162</v>
      </c>
      <c r="F90" s="6">
        <f>IF(AND(OR($C$3="All", $C$3="", A90=$C$3), OR($C$4="All", $C$4="", B90=$C$4)), D90-E90*3, NA())</f>
        <v/>
      </c>
      <c r="G90" s="6">
        <f>IF(AND(OR($C$3="All", $C$3="", A90=$C$3), OR($C$4="All", $C$4="", B90=$C$4)), D90-E90*6, NA())</f>
        <v/>
      </c>
    </row>
    <row r="91">
      <c r="A91" s="5" t="inlineStr">
        <is>
          <t>polystyrene</t>
        </is>
      </c>
      <c r="B91" s="5" t="inlineStr">
        <is>
          <t>tetrahydrofuran</t>
        </is>
      </c>
      <c r="C91" s="6" t="n"/>
      <c r="D91" s="6" t="n">
        <v>-8.07</v>
      </c>
      <c r="E91" s="6" t="n">
        <v>0.42</v>
      </c>
      <c r="F91" s="6">
        <f>IF(AND(OR($C$3="All", $C$3="", A91=$C$3), OR($C$4="All", $C$4="", B91=$C$4)), D91-E91*3, NA())</f>
        <v/>
      </c>
      <c r="G91" s="6">
        <f>IF(AND(OR($C$3="All", $C$3="", A91=$C$3), OR($C$4="All", $C$4="", B91=$C$4)), D91-E91*6, NA())</f>
        <v/>
      </c>
    </row>
    <row r="92">
      <c r="A92" s="5" t="inlineStr">
        <is>
          <t>polystyrene</t>
        </is>
      </c>
      <c r="B92" s="5" t="inlineStr">
        <is>
          <t>tetrahydrofuran</t>
        </is>
      </c>
      <c r="C92" s="6" t="n"/>
      <c r="D92" s="6" t="n">
        <v>-7.655839673984551</v>
      </c>
      <c r="E92" s="6" t="n">
        <v>0.519361</v>
      </c>
      <c r="F92" s="6">
        <f>IF(AND(OR($C$3="All", $C$3="", A92=$C$3), OR($C$4="All", $C$4="", B92=$C$4)), D92-E92*3, NA())</f>
        <v/>
      </c>
      <c r="G92" s="6">
        <f>IF(AND(OR($C$3="All", $C$3="", A92=$C$3), OR($C$4="All", $C$4="", B92=$C$4)), D92-E92*6, NA())</f>
        <v/>
      </c>
    </row>
    <row r="93">
      <c r="A93" s="5" t="inlineStr">
        <is>
          <t>polystyrene</t>
        </is>
      </c>
      <c r="B93" s="5" t="inlineStr">
        <is>
          <t>tetrahydrofuran</t>
        </is>
      </c>
      <c r="C93" s="6" t="n"/>
      <c r="D93" s="6" t="n">
        <v>-7.497627511688311</v>
      </c>
      <c r="E93" s="6" t="n">
        <v>0.5604</v>
      </c>
      <c r="F93" s="6">
        <f>IF(AND(OR($C$3="All", $C$3="", A93=$C$3), OR($C$4="All", $C$4="", B93=$C$4)), D93-E93*3, NA())</f>
        <v/>
      </c>
      <c r="G93" s="6">
        <f>IF(AND(OR($C$3="All", $C$3="", A93=$C$3), OR($C$4="All", $C$4="", B93=$C$4)), D93-E93*6, NA())</f>
        <v/>
      </c>
    </row>
    <row r="94">
      <c r="A94" s="5" t="inlineStr">
        <is>
          <t>polystyrene</t>
        </is>
      </c>
      <c r="B94" s="5" t="inlineStr">
        <is>
          <t>toluene</t>
        </is>
      </c>
      <c r="C94" s="6" t="n"/>
      <c r="D94" s="6" t="n">
        <v>-7.82</v>
      </c>
      <c r="E94" s="6" t="n">
        <v>0.51</v>
      </c>
      <c r="F94" s="6">
        <f>IF(AND(OR($C$3="All", $C$3="", A94=$C$3), OR($C$4="All", $C$4="", B94=$C$4)), D94-E94*3, NA())</f>
        <v/>
      </c>
      <c r="G94" s="6">
        <f>IF(AND(OR($C$3="All", $C$3="", A94=$C$3), OR($C$4="All", $C$4="", B94=$C$4)), D94-E94*6, NA())</f>
        <v/>
      </c>
    </row>
    <row r="95">
      <c r="A95" s="5" t="inlineStr">
        <is>
          <t>polystyrene</t>
        </is>
      </c>
      <c r="B95" s="5" t="inlineStr">
        <is>
          <t>toluene</t>
        </is>
      </c>
      <c r="C95" s="6" t="n"/>
      <c r="D95" s="6" t="n">
        <v>-7.670077622607558</v>
      </c>
      <c r="E95" s="6" t="n">
        <v>0.531065</v>
      </c>
      <c r="F95" s="6">
        <f>IF(AND(OR($C$3="All", $C$3="", A95=$C$3), OR($C$4="All", $C$4="", B95=$C$4)), D95-E95*3, NA())</f>
        <v/>
      </c>
      <c r="G95" s="6">
        <f>IF(AND(OR($C$3="All", $C$3="", A95=$C$3), OR($C$4="All", $C$4="", B95=$C$4)), D95-E95*6, NA())</f>
        <v/>
      </c>
    </row>
    <row r="96">
      <c r="A96" s="5" t="inlineStr">
        <is>
          <t>polystyrene</t>
        </is>
      </c>
      <c r="B96" s="5" t="inlineStr">
        <is>
          <t>toluene</t>
        </is>
      </c>
      <c r="C96" s="6" t="n"/>
      <c r="D96" s="6" t="n">
        <v>-7.670073559204548</v>
      </c>
      <c r="E96" s="6" t="n">
        <v>0.53106</v>
      </c>
      <c r="F96" s="6">
        <f>IF(AND(OR($C$3="All", $C$3="", A96=$C$3), OR($C$4="All", $C$4="", B96=$C$4)), D96-E96*3, NA())</f>
        <v/>
      </c>
      <c r="G96" s="6">
        <f>IF(AND(OR($C$3="All", $C$3="", A96=$C$3), OR($C$4="All", $C$4="", B96=$C$4)), D96-E96*6, NA())</f>
        <v/>
      </c>
    </row>
    <row r="97">
      <c r="A97" s="5" t="inlineStr">
        <is>
          <t>pullulan</t>
        </is>
      </c>
      <c r="B97" s="5" t="inlineStr">
        <is>
          <t>deuterium oxide</t>
        </is>
      </c>
      <c r="C97" s="6" t="inlineStr">
        <is>
          <t>Not found</t>
        </is>
      </c>
      <c r="D97" s="6" t="n">
        <v>-8.199999999999999</v>
      </c>
      <c r="E97" s="6" t="n">
        <v>0.49</v>
      </c>
      <c r="F97" s="6">
        <f>IF(AND(OR($C$3="All", $C$3="", A97=$C$3), OR($C$4="All", $C$4="", B97=$C$4)), D97-E97*3, NA())</f>
        <v/>
      </c>
      <c r="G97" s="6">
        <f>IF(AND(OR($C$3="All", $C$3="", A97=$C$3), OR($C$4="All", $C$4="", B97=$C$4)), D97-E97*6, NA())</f>
        <v/>
      </c>
    </row>
  </sheetData>
  <mergeCells count="1">
    <mergeCell ref="B2:C2"/>
  </mergeCells>
  <dataValidations count="2">
    <dataValidation sqref="C3" showDropDown="0" showInputMessage="0" showErrorMessage="0" allowBlank="1" type="list">
      <formula1>=Polymers!$L$2:$L$12</formula1>
    </dataValidation>
    <dataValidation sqref="C4" showDropDown="0" showInputMessage="0" showErrorMessage="0" allowBlank="1" type="list">
      <formula1>=Polymers!$M$2:$M$14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42" customWidth="1" min="3" max="3"/>
    <col width="50" customWidth="1" min="4" max="4"/>
    <col width="24" customWidth="1" min="5" max="5"/>
    <col width="28" customWidth="1" min="6" max="6"/>
    <col width="18" customWidth="1" min="7" max="7"/>
    <col width="25" customWidth="1" min="8" max="8"/>
    <col width="39" customWidth="1" min="9" max="9"/>
    <col width="29" customWidth="1" min="10" max="10"/>
    <col width="20" customWidth="1" min="11" max="11"/>
    <col width="87" customWidth="1" min="12" max="12"/>
    <col width="30" customWidth="1" min="13" max="13"/>
    <col width="15" customWidth="1" min="14" max="14"/>
    <col width="15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c Value (log Constant)</t>
        </is>
      </c>
      <c r="I1" s="4" t="inlineStr">
        <is>
          <t>c Transformation</t>
        </is>
      </c>
      <c r="J1" s="4" t="inlineStr">
        <is>
          <t>v Value (Scaling Exponent)</t>
        </is>
      </c>
      <c r="K1" s="4" t="inlineStr">
        <is>
          <t>v Transformation</t>
        </is>
      </c>
      <c r="L1" s="4" t="inlineStr">
        <is>
          <t>Errors</t>
        </is>
      </c>
      <c r="M1" s="4" t="inlineStr">
        <is>
          <t>Warnings</t>
        </is>
      </c>
      <c r="N1" s="4" t="n">
        <v>3</v>
      </c>
      <c r="O1" s="4" t="n">
        <v>6</v>
      </c>
      <c r="Q1" s="4" t="inlineStr">
        <is>
          <t>Solvent</t>
        </is>
      </c>
      <c r="R1" s="4" t="inlineStr">
        <is>
          <t>Polymer</t>
        </is>
      </c>
      <c r="S1" s="4" t="inlineStr">
        <is>
          <t>Count</t>
        </is>
      </c>
    </row>
    <row r="2">
      <c r="A2" s="5" t="inlineStr">
        <is>
          <t>1994 - Structural Information on Hyaluronic Acid Solutions As Studied by Probe Diffusion Experiments</t>
        </is>
      </c>
      <c r="B2" s="5" t="inlineStr">
        <is>
          <t>table1</t>
        </is>
      </c>
      <c r="C2" s="5" t="inlineStr">
        <is>
          <t>FITC-dextran</t>
        </is>
      </c>
      <c r="D2" s="5" t="inlineStr">
        <is>
          <t>FITC-dextran</t>
        </is>
      </c>
      <c r="E2" s="5" t="inlineStr">
        <is>
          <t>HA solutions</t>
        </is>
      </c>
      <c r="F2" s="5" t="inlineStr">
        <is>
          <t>Invalid chemical</t>
        </is>
      </c>
      <c r="G2" s="6" t="inlineStr">
        <is>
          <t>Not found</t>
        </is>
      </c>
      <c r="H2" s="6" t="n">
        <v>0.6493348587121419</v>
      </c>
      <c r="I2" s="5" t="inlineStr">
        <is>
          <t>log10</t>
        </is>
      </c>
      <c r="J2" s="6" t="n">
        <v>0.607</v>
      </c>
      <c r="K2" s="5" t="inlineStr">
        <is>
          <t>none</t>
        </is>
      </c>
      <c r="L2" s="12" t="inlineStr">
        <is>
          <t>Solvent Identification Failure, D Value Out of Range</t>
        </is>
      </c>
      <c r="M2" s="13" t="inlineStr">
        <is>
          <t>Temperature Missing/Invalid</t>
        </is>
      </c>
      <c r="N2" s="6">
        <f>H2-J2*3</f>
        <v/>
      </c>
      <c r="O2" s="6">
        <f>H2-J2*6</f>
        <v/>
      </c>
    </row>
    <row r="3">
      <c r="A3" s="5" t="inlineStr">
        <is>
          <t>1994 - Structural Information on Hyaluronic Acid Solutions As Studied by Probe Diffusion Experiments</t>
        </is>
      </c>
      <c r="B3" s="5" t="inlineStr">
        <is>
          <t>table1</t>
        </is>
      </c>
      <c r="C3" s="5" t="inlineStr">
        <is>
          <t>FITC-dextran</t>
        </is>
      </c>
      <c r="D3" s="5" t="inlineStr">
        <is>
          <t>FITC-dextran</t>
        </is>
      </c>
      <c r="E3" s="5" t="inlineStr">
        <is>
          <t>HA solutions</t>
        </is>
      </c>
      <c r="F3" s="5" t="inlineStr">
        <is>
          <t>Invalid chemical</t>
        </is>
      </c>
      <c r="G3" s="6" t="inlineStr">
        <is>
          <t>Not found</t>
        </is>
      </c>
      <c r="H3" s="6" t="n">
        <v>0.4969296480732149</v>
      </c>
      <c r="I3" s="5" t="inlineStr">
        <is>
          <t>log10</t>
        </is>
      </c>
      <c r="J3" s="6" t="n">
        <v>0.629</v>
      </c>
      <c r="K3" s="5" t="inlineStr">
        <is>
          <t>none</t>
        </is>
      </c>
      <c r="L3" s="12" t="inlineStr">
        <is>
          <t>Solvent Identification Failure, D Value Out of Range</t>
        </is>
      </c>
      <c r="M3" s="13" t="inlineStr">
        <is>
          <t>Temperature Missing/Invalid</t>
        </is>
      </c>
      <c r="N3" s="6">
        <f>H3-J3*3</f>
        <v/>
      </c>
      <c r="O3" s="6">
        <f>H3-J3*6</f>
        <v/>
      </c>
    </row>
    <row r="4">
      <c r="A4" s="5" t="inlineStr">
        <is>
          <t>1994 - Structural Information on Hyaluronic Acid Solutions As Studied by Probe Diffusion Experiments</t>
        </is>
      </c>
      <c r="B4" s="5" t="inlineStr">
        <is>
          <t>table1</t>
        </is>
      </c>
      <c r="C4" s="5" t="inlineStr">
        <is>
          <t>FITC-dextran</t>
        </is>
      </c>
      <c r="D4" s="5" t="inlineStr">
        <is>
          <t>FITC-dextran</t>
        </is>
      </c>
      <c r="E4" s="5" t="inlineStr">
        <is>
          <t>HA solutions</t>
        </is>
      </c>
      <c r="F4" s="5" t="inlineStr">
        <is>
          <t>Invalid chemical</t>
        </is>
      </c>
      <c r="G4" s="6" t="n"/>
      <c r="H4" s="6" t="n">
        <v>0.220108088040055</v>
      </c>
      <c r="I4" s="5" t="inlineStr">
        <is>
          <t>log10</t>
        </is>
      </c>
      <c r="J4" s="6" t="n">
        <v>0.5</v>
      </c>
      <c r="K4" s="5" t="inlineStr">
        <is>
          <t>none</t>
        </is>
      </c>
      <c r="L4" s="12" t="inlineStr">
        <is>
          <t>Solvent Identification Failure, D Value Out of Range</t>
        </is>
      </c>
      <c r="M4" s="13" t="inlineStr">
        <is>
          <t>Temperature Missing/Invalid</t>
        </is>
      </c>
      <c r="N4" s="6">
        <f>H4-J4*3</f>
        <v/>
      </c>
      <c r="O4" s="6">
        <f>H4-J4*6</f>
        <v/>
      </c>
    </row>
    <row r="5">
      <c r="A5" s="5" t="inlineStr">
        <is>
          <t>1994 - Structural Information on Hyaluronic Acid Solutions As Studied by Probe Diffusion Experiments</t>
        </is>
      </c>
      <c r="B5" s="5" t="inlineStr">
        <is>
          <t>table1</t>
        </is>
      </c>
      <c r="C5" s="5" t="inlineStr">
        <is>
          <t>FITC-dextran</t>
        </is>
      </c>
      <c r="D5" s="5" t="inlineStr">
        <is>
          <t>FITC-dextran</t>
        </is>
      </c>
      <c r="E5" s="5" t="inlineStr">
        <is>
          <t>HA solutions</t>
        </is>
      </c>
      <c r="F5" s="5" t="inlineStr">
        <is>
          <t>Invalid chemical</t>
        </is>
      </c>
      <c r="G5" s="6" t="inlineStr">
        <is>
          <t>Not found</t>
        </is>
      </c>
      <c r="H5" s="6" t="n">
        <v>0.6493348587121419</v>
      </c>
      <c r="I5" s="5" t="inlineStr">
        <is>
          <t>log10</t>
        </is>
      </c>
      <c r="J5" s="6" t="n">
        <v>0.607</v>
      </c>
      <c r="K5" s="5" t="inlineStr">
        <is>
          <t>none</t>
        </is>
      </c>
      <c r="L5" s="12" t="inlineStr">
        <is>
          <t>Solvent Identification Failure, D Value Out of Range</t>
        </is>
      </c>
      <c r="M5" s="13" t="inlineStr">
        <is>
          <t>Temperature Missing/Invalid</t>
        </is>
      </c>
      <c r="N5" s="6">
        <f>H5-J5*3</f>
        <v/>
      </c>
      <c r="O5" s="6">
        <f>H5-J5*6</f>
        <v/>
      </c>
    </row>
    <row r="6">
      <c r="A6" s="5" t="inlineStr">
        <is>
          <t>1995 - Determination of Molecular Weight Distributions for Polymers by diffusion NMR</t>
        </is>
      </c>
      <c r="B6" s="5" t="inlineStr">
        <is>
          <t>table2</t>
        </is>
      </c>
      <c r="C6" s="5" t="inlineStr">
        <is>
          <t>Polyethylene oxide</t>
        </is>
      </c>
      <c r="D6" s="5" t="inlineStr">
        <is>
          <t>poly(ethylene oxide)</t>
        </is>
      </c>
      <c r="E6" s="5" t="inlineStr">
        <is>
          <t>D2O</t>
        </is>
      </c>
      <c r="F6" s="5" t="inlineStr">
        <is>
          <t>deuterium oxide</t>
        </is>
      </c>
      <c r="G6" s="6" t="n"/>
      <c r="H6" s="6" t="n">
        <v>-7.62</v>
      </c>
      <c r="I6" s="5" t="inlineStr">
        <is>
          <t>log10</t>
        </is>
      </c>
      <c r="J6" s="6" t="n">
        <v>0.62</v>
      </c>
      <c r="K6" s="5" t="inlineStr">
        <is>
          <t>positive_exponent</t>
        </is>
      </c>
      <c r="L6" s="5" t="inlineStr">
        <is>
          <t>None</t>
        </is>
      </c>
      <c r="M6" s="13" t="inlineStr">
        <is>
          <t>Temperature Missing/Invalid</t>
        </is>
      </c>
      <c r="N6" s="6">
        <f>H6-J6*3</f>
        <v/>
      </c>
      <c r="O6" s="6">
        <f>H6-J6*6</f>
        <v/>
      </c>
    </row>
    <row r="7">
      <c r="A7" s="5" t="inlineStr">
        <is>
          <t>2008 - Determination of the Chemical Structure of Poly-β-pinene by NMR Spectroscopy</t>
        </is>
      </c>
      <c r="B7" s="5" t="inlineStr">
        <is>
          <t>table5</t>
        </is>
      </c>
      <c r="C7" s="5" t="inlineStr">
        <is>
          <t>PEG</t>
        </is>
      </c>
      <c r="D7" s="5" t="inlineStr">
        <is>
          <t>poly(ethylene oxide)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n">
        <v>-7.958607314841775</v>
      </c>
      <c r="I7" s="5" t="inlineStr">
        <is>
          <t>log10</t>
        </is>
      </c>
      <c r="J7" s="6" t="n">
        <v>0.6</v>
      </c>
      <c r="K7" s="5" t="inlineStr">
        <is>
          <t>none</t>
        </is>
      </c>
      <c r="L7" s="14" t="inlineStr">
        <is>
          <t>Solvent Identification Failure</t>
        </is>
      </c>
      <c r="M7" s="13" t="inlineStr">
        <is>
          <t>Temperature Missing/Invalid</t>
        </is>
      </c>
      <c r="N7" s="6">
        <f>H7-J7*3</f>
        <v/>
      </c>
      <c r="O7" s="6">
        <f>H7-J7*6</f>
        <v/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polymers in Έ solvent</t>
        </is>
      </c>
      <c r="D8" s="5" t="inlineStr">
        <is>
          <t>Invalid chemical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0.5</v>
      </c>
      <c r="K8" s="5" t="inlineStr">
        <is>
          <t>none</t>
        </is>
      </c>
      <c r="L8" s="12" t="inlineStr">
        <is>
          <t>Solvent Identification Failure, c_value Out of Range, Polymer Identification Failure</t>
        </is>
      </c>
      <c r="M8" s="13" t="inlineStr">
        <is>
          <t>Temperature Missing/Invalid</t>
        </is>
      </c>
      <c r="N8" s="15" t="n"/>
      <c r="O8" s="15" t="n"/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polymers in good solvent</t>
        </is>
      </c>
      <c r="D9" s="5" t="inlineStr">
        <is>
          <t>Invalid chemical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0.588</v>
      </c>
      <c r="K9" s="5" t="inlineStr">
        <is>
          <t>none</t>
        </is>
      </c>
      <c r="L9" s="12" t="inlineStr">
        <is>
          <t>Solvent Identification Failure, c_value Out of Range, Polymer Identification Failure</t>
        </is>
      </c>
      <c r="M9" s="13" t="inlineStr">
        <is>
          <t>Temperature Missing/Invalid</t>
        </is>
      </c>
      <c r="N9" s="15" t="n"/>
      <c r="O9" s="15" t="n"/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table2</t>
        </is>
      </c>
      <c r="C10" s="5" t="inlineStr">
        <is>
          <t>globular proteins</t>
        </is>
      </c>
      <c r="D10" s="5" t="inlineStr">
        <is>
          <t>globular proteins</t>
        </is>
      </c>
      <c r="E10" s="5" t="inlineStr">
        <is>
          <t>Not found</t>
        </is>
      </c>
      <c r="F10" s="5" t="inlineStr">
        <is>
          <t>Not found</t>
        </is>
      </c>
      <c r="G10" s="6" t="n"/>
      <c r="H10" s="6" t="inlineStr">
        <is>
          <t>Not found</t>
        </is>
      </c>
      <c r="I10" s="5" t="inlineStr">
        <is>
          <t>none</t>
        </is>
      </c>
      <c r="J10" s="6" t="n">
        <v>0.39</v>
      </c>
      <c r="K10" s="5" t="inlineStr">
        <is>
          <t>none</t>
        </is>
      </c>
      <c r="L10" s="12" t="inlineStr">
        <is>
          <t>Solvent Identification Failure, c_value Out of Range</t>
        </is>
      </c>
      <c r="M10" s="13" t="inlineStr">
        <is>
          <t>Temperature Missing/Invalid</t>
        </is>
      </c>
      <c r="N10" s="15" t="n"/>
      <c r="O10" s="15" t="n"/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table2</t>
        </is>
      </c>
      <c r="C11" s="5" t="inlineStr">
        <is>
          <t>globular proteins</t>
        </is>
      </c>
      <c r="D11" s="5" t="inlineStr">
        <is>
          <t>globular proteins</t>
        </is>
      </c>
      <c r="E11" s="5" t="inlineStr">
        <is>
          <t>Not found</t>
        </is>
      </c>
      <c r="F11" s="5" t="inlineStr">
        <is>
          <t>Not found</t>
        </is>
      </c>
      <c r="G11" s="6" t="n"/>
      <c r="H11" s="6" t="inlineStr">
        <is>
          <t>Not found</t>
        </is>
      </c>
      <c r="I11" s="5" t="inlineStr">
        <is>
          <t>none</t>
        </is>
      </c>
      <c r="J11" s="6" t="n">
        <v>0.39</v>
      </c>
      <c r="K11" s="5" t="inlineStr">
        <is>
          <t>none</t>
        </is>
      </c>
      <c r="L11" s="12" t="inlineStr">
        <is>
          <t>Solvent Identification Failure, c_value Out of Range</t>
        </is>
      </c>
      <c r="M11" s="13" t="inlineStr">
        <is>
          <t>Temperature Missing/Invalid</t>
        </is>
      </c>
      <c r="N11" s="15" t="n"/>
      <c r="O11" s="15" t="n"/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table2</t>
        </is>
      </c>
      <c r="C12" s="5" t="inlineStr">
        <is>
          <t>PS in toluene</t>
        </is>
      </c>
      <c r="D12" s="5" t="inlineStr">
        <is>
          <t>polystyrene</t>
        </is>
      </c>
      <c r="E12" s="5" t="inlineStr">
        <is>
          <t>toluene</t>
        </is>
      </c>
      <c r="F12" s="5" t="inlineStr">
        <is>
          <t>toluene</t>
        </is>
      </c>
      <c r="G12" s="6" t="n"/>
      <c r="H12" s="6" t="inlineStr">
        <is>
          <t>Not found</t>
        </is>
      </c>
      <c r="I12" s="5" t="inlineStr">
        <is>
          <t>none</t>
        </is>
      </c>
      <c r="J12" s="6" t="n">
        <v>0.41</v>
      </c>
      <c r="K12" s="5" t="inlineStr">
        <is>
          <t>none</t>
        </is>
      </c>
      <c r="L12" s="12" t="inlineStr">
        <is>
          <t>c_value Out of Range</t>
        </is>
      </c>
      <c r="M12" s="13" t="inlineStr">
        <is>
          <t>Temperature Missing/Invalid</t>
        </is>
      </c>
      <c r="N12" s="15" t="n"/>
      <c r="O12" s="15" t="n"/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table2</t>
        </is>
      </c>
      <c r="C13" s="5" t="inlineStr">
        <is>
          <t>PMMAin acetone below 30 kD</t>
        </is>
      </c>
      <c r="D13" s="5" t="inlineStr">
        <is>
          <t>poly(methyl methacrylate)</t>
        </is>
      </c>
      <c r="E13" s="5" t="inlineStr">
        <is>
          <t>acetone</t>
        </is>
      </c>
      <c r="F13" s="5" t="inlineStr">
        <is>
          <t>acetone</t>
        </is>
      </c>
      <c r="G13" s="6" t="n"/>
      <c r="H13" s="6" t="inlineStr">
        <is>
          <t>Not found</t>
        </is>
      </c>
      <c r="I13" s="5" t="inlineStr">
        <is>
          <t>none</t>
        </is>
      </c>
      <c r="J13" s="6" t="n">
        <v>0.46</v>
      </c>
      <c r="K13" s="5" t="inlineStr">
        <is>
          <t>none</t>
        </is>
      </c>
      <c r="L13" s="12" t="inlineStr">
        <is>
          <t>c_value Out of Range</t>
        </is>
      </c>
      <c r="M13" s="13" t="inlineStr">
        <is>
          <t>Temperature Missing/Invalid</t>
        </is>
      </c>
      <c r="N13" s="15" t="n"/>
      <c r="O13" s="15" t="n"/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PS in acetone</t>
        </is>
      </c>
      <c r="D14" s="5" t="inlineStr">
        <is>
          <t>polystyrene</t>
        </is>
      </c>
      <c r="E14" s="5" t="inlineStr">
        <is>
          <t>acetone</t>
        </is>
      </c>
      <c r="F14" s="5" t="inlineStr">
        <is>
          <t>acetone</t>
        </is>
      </c>
      <c r="G14" s="6" t="n"/>
      <c r="H14" s="6" t="inlineStr">
        <is>
          <t>Not found</t>
        </is>
      </c>
      <c r="I14" s="5" t="inlineStr">
        <is>
          <t>none</t>
        </is>
      </c>
      <c r="J14" s="6" t="n">
        <v>0.47</v>
      </c>
      <c r="K14" s="5" t="inlineStr">
        <is>
          <t>none</t>
        </is>
      </c>
      <c r="L14" s="12" t="inlineStr">
        <is>
          <t>c_value Out of Range</t>
        </is>
      </c>
      <c r="M14" s="13" t="inlineStr">
        <is>
          <t>Temperature Missing/Invalid</t>
        </is>
      </c>
      <c r="N14" s="15" t="n"/>
      <c r="O14" s="15" t="n"/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PS in CDCl 3 below 20 kD</t>
        </is>
      </c>
      <c r="D15" s="5" t="inlineStr">
        <is>
          <t>polystyrene</t>
        </is>
      </c>
      <c r="E15" s="5" t="inlineStr">
        <is>
          <t>CDCl3</t>
        </is>
      </c>
      <c r="F15" s="5" t="inlineStr">
        <is>
          <t>chloroform-d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0.47</v>
      </c>
      <c r="K15" s="5" t="inlineStr">
        <is>
          <t>none</t>
        </is>
      </c>
      <c r="L15" s="12" t="inlineStr">
        <is>
          <t>c_value Out of Range</t>
        </is>
      </c>
      <c r="M15" s="13" t="inlineStr">
        <is>
          <t>Temperature Missing/Invalid</t>
        </is>
      </c>
      <c r="N15" s="15" t="n"/>
      <c r="O15" s="15" t="n"/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PMMAin CDCl 3 below 30 kD</t>
        </is>
      </c>
      <c r="D16" s="5" t="inlineStr">
        <is>
          <t>poly(methyl methacrylate)</t>
        </is>
      </c>
      <c r="E16" s="5" t="inlineStr">
        <is>
          <t>CDCl3</t>
        </is>
      </c>
      <c r="F16" s="5" t="inlineStr">
        <is>
          <t>chloroform-d</t>
        </is>
      </c>
      <c r="G16" s="6" t="n"/>
      <c r="H16" s="6" t="inlineStr">
        <is>
          <t>Not found</t>
        </is>
      </c>
      <c r="I16" s="5" t="inlineStr">
        <is>
          <t>none</t>
        </is>
      </c>
      <c r="J16" s="6" t="n">
        <v>0.48</v>
      </c>
      <c r="K16" s="5" t="inlineStr">
        <is>
          <t>none</t>
        </is>
      </c>
      <c r="L16" s="12" t="inlineStr">
        <is>
          <t>c_value Out of Range</t>
        </is>
      </c>
      <c r="M16" s="13" t="inlineStr">
        <is>
          <t>Temperature Missing/Invalid</t>
        </is>
      </c>
      <c r="N16" s="15" t="n"/>
      <c r="O16" s="15" t="n"/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oligosaccharides a</t>
        </is>
      </c>
      <c r="D17" s="5" t="inlineStr">
        <is>
          <t>oligosaccharides</t>
        </is>
      </c>
      <c r="E17" s="5" t="inlineStr">
        <is>
          <t>Not found</t>
        </is>
      </c>
      <c r="F17" s="5" t="inlineStr">
        <is>
          <t>Not found</t>
        </is>
      </c>
      <c r="G17" s="6" t="n"/>
      <c r="H17" s="6" t="inlineStr">
        <is>
          <t>Not found</t>
        </is>
      </c>
      <c r="I17" s="5" t="inlineStr">
        <is>
          <t>none</t>
        </is>
      </c>
      <c r="J17" s="6" t="n">
        <v>0.48</v>
      </c>
      <c r="K17" s="5" t="inlineStr">
        <is>
          <t>none</t>
        </is>
      </c>
      <c r="L17" s="12" t="inlineStr">
        <is>
          <t>Solvent Identification Failure, c_value Out of Range</t>
        </is>
      </c>
      <c r="M17" s="13" t="inlineStr">
        <is>
          <t>Temperature Missing/Invalid</t>
        </is>
      </c>
      <c r="N17" s="15" t="n"/>
      <c r="O17" s="15" t="n"/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PS in THF below 20 kD</t>
        </is>
      </c>
      <c r="D18" s="5" t="inlineStr">
        <is>
          <t>polystyrene</t>
        </is>
      </c>
      <c r="E18" s="5" t="inlineStr">
        <is>
          <t>THF</t>
        </is>
      </c>
      <c r="F18" s="5" t="inlineStr">
        <is>
          <t>tetrahydrofuran</t>
        </is>
      </c>
      <c r="G18" s="6" t="inlineStr">
        <is>
          <t>Not found</t>
        </is>
      </c>
      <c r="H18" s="6" t="n">
        <v>0.5</v>
      </c>
      <c r="I18" s="5" t="inlineStr">
        <is>
          <t>none</t>
        </is>
      </c>
      <c r="J18" s="6" t="n">
        <v>0.5</v>
      </c>
      <c r="K18" s="5" t="inlineStr">
        <is>
          <t>none</t>
        </is>
      </c>
      <c r="L18" s="12" t="inlineStr">
        <is>
          <t>D Value Out of Range</t>
        </is>
      </c>
      <c r="M18" s="13" t="inlineStr">
        <is>
          <t>Temperature Missing/Invalid</t>
        </is>
      </c>
      <c r="N18" s="6">
        <f>H18-J18*3</f>
        <v/>
      </c>
      <c r="O18" s="6">
        <f>H18-J18*6</f>
        <v/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PEO in D 2 O</t>
        </is>
      </c>
      <c r="D19" s="5" t="inlineStr">
        <is>
          <t>poly(ethylene oxide)</t>
        </is>
      </c>
      <c r="E19" s="5" t="inlineStr">
        <is>
          <t>D2O</t>
        </is>
      </c>
      <c r="F19" s="5" t="inlineStr">
        <is>
          <t>deuterium oxide</t>
        </is>
      </c>
      <c r="G19" s="6" t="n"/>
      <c r="H19" s="6" t="inlineStr">
        <is>
          <t>Not found</t>
        </is>
      </c>
      <c r="I19" s="5" t="inlineStr">
        <is>
          <t>none</t>
        </is>
      </c>
      <c r="J19" s="6" t="n">
        <v>0.54</v>
      </c>
      <c r="K19" s="5" t="inlineStr">
        <is>
          <t>none</t>
        </is>
      </c>
      <c r="L19" s="12" t="inlineStr">
        <is>
          <t>c_value Out of Range</t>
        </is>
      </c>
      <c r="M19" s="13" t="inlineStr">
        <is>
          <t>Temperature Missing/Invalid</t>
        </is>
      </c>
      <c r="N19" s="15" t="n"/>
      <c r="O19" s="15" t="n"/>
    </row>
    <row r="20">
      <c r="A20" s="5" t="inlineStr">
        <is>
          <t>2009 - NMR Measure of Translational Diffusion and Fractal Dimension. Application to Molecular Mass Measurement</t>
        </is>
      </c>
      <c r="B20" s="5" t="inlineStr">
        <is>
          <t>table2</t>
        </is>
      </c>
      <c r="C20" s="5" t="inlineStr">
        <is>
          <t>small molecules in D 2 O a</t>
        </is>
      </c>
      <c r="D20" s="5" t="inlineStr">
        <is>
          <t>Invalid chemical</t>
        </is>
      </c>
      <c r="E20" s="5" t="inlineStr">
        <is>
          <t>D2O</t>
        </is>
      </c>
      <c r="F20" s="5" t="inlineStr">
        <is>
          <t>deuterium oxide</t>
        </is>
      </c>
      <c r="G20" s="6" t="n"/>
      <c r="H20" s="6" t="inlineStr">
        <is>
          <t>Not found</t>
        </is>
      </c>
      <c r="I20" s="5" t="inlineStr">
        <is>
          <t>none</t>
        </is>
      </c>
      <c r="J20" s="6" t="n">
        <v>0.54</v>
      </c>
      <c r="K20" s="5" t="inlineStr">
        <is>
          <t>none</t>
        </is>
      </c>
      <c r="L20" s="12" t="inlineStr">
        <is>
          <t>c_value Out of Range, Polymer Identification Failure</t>
        </is>
      </c>
      <c r="M20" s="13" t="inlineStr">
        <is>
          <t>Temperature Missing/Invalid</t>
        </is>
      </c>
      <c r="N20" s="15" t="n"/>
      <c r="O20" s="15" t="n"/>
    </row>
    <row r="21">
      <c r="A21" s="5" t="inlineStr">
        <is>
          <t>2009 - NMR Measure of Translational Diffusion and Fractal Dimension. Application to Molecular Mass Measurement</t>
        </is>
      </c>
      <c r="B21" s="5" t="inlineStr">
        <is>
          <t>table2</t>
        </is>
      </c>
      <c r="C21" s="5" t="inlineStr">
        <is>
          <t>PMMAin acetone above 25 kD</t>
        </is>
      </c>
      <c r="D21" s="5" t="inlineStr">
        <is>
          <t>poly(methyl methacrylate)</t>
        </is>
      </c>
      <c r="E21" s="5" t="inlineStr">
        <is>
          <t>acetone</t>
        </is>
      </c>
      <c r="F21" s="5" t="inlineStr">
        <is>
          <t>acetone</t>
        </is>
      </c>
      <c r="G21" s="6" t="n"/>
      <c r="H21" s="6" t="inlineStr">
        <is>
          <t>Not found</t>
        </is>
      </c>
      <c r="I21" s="5" t="inlineStr">
        <is>
          <t>none</t>
        </is>
      </c>
      <c r="J21" s="6" t="n">
        <v>0.54</v>
      </c>
      <c r="K21" s="5" t="inlineStr">
        <is>
          <t>none</t>
        </is>
      </c>
      <c r="L21" s="12" t="inlineStr">
        <is>
          <t>c_value Out of Range</t>
        </is>
      </c>
      <c r="M21" s="13" t="inlineStr">
        <is>
          <t>Temperature Missing/Invalid</t>
        </is>
      </c>
      <c r="N21" s="15" t="n"/>
      <c r="O21" s="15" t="n"/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PEO in water</t>
        </is>
      </c>
      <c r="D22" s="5" t="inlineStr">
        <is>
          <t>poly(ethylene oxide)</t>
        </is>
      </c>
      <c r="E22" s="5" t="inlineStr">
        <is>
          <t>water</t>
        </is>
      </c>
      <c r="F22" s="5" t="inlineStr">
        <is>
          <t>water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0.55</v>
      </c>
      <c r="K22" s="5" t="inlineStr">
        <is>
          <t>none</t>
        </is>
      </c>
      <c r="L22" s="12" t="inlineStr">
        <is>
          <t>c_value Out of Range</t>
        </is>
      </c>
      <c r="M22" s="13" t="inlineStr">
        <is>
          <t>Temperature Missing/Invalid</t>
        </is>
      </c>
      <c r="N22" s="15" t="n"/>
      <c r="O22" s="15" t="n"/>
    </row>
    <row r="23">
      <c r="A23" s="5" t="inlineStr">
        <is>
          <t>2009 - NMR Measure of Translational Diffusion and Fractal Dimension. Application to Molecular Mass Measurement</t>
        </is>
      </c>
      <c r="B23" s="5" t="inlineStr">
        <is>
          <t>table2</t>
        </is>
      </c>
      <c r="C23" s="5" t="inlineStr">
        <is>
          <t>small molecules in CDCl 3 a</t>
        </is>
      </c>
      <c r="D23" s="5" t="inlineStr">
        <is>
          <t>Invalid chemical</t>
        </is>
      </c>
      <c r="E23" s="5" t="inlineStr">
        <is>
          <t>CDCl3</t>
        </is>
      </c>
      <c r="F23" s="5" t="inlineStr">
        <is>
          <t>chloroform-d</t>
        </is>
      </c>
      <c r="G23" s="6" t="n"/>
      <c r="H23" s="6" t="inlineStr">
        <is>
          <t>Not found</t>
        </is>
      </c>
      <c r="I23" s="5" t="inlineStr">
        <is>
          <t>none</t>
        </is>
      </c>
      <c r="J23" s="6" t="n">
        <v>0.5600000000000001</v>
      </c>
      <c r="K23" s="5" t="inlineStr">
        <is>
          <t>none</t>
        </is>
      </c>
      <c r="L23" s="12" t="inlineStr">
        <is>
          <t>c_value Out of Range, Polymer Identification Failure</t>
        </is>
      </c>
      <c r="M23" s="13" t="inlineStr">
        <is>
          <t>Temperature Missing/Invalid</t>
        </is>
      </c>
      <c r="N23" s="15" t="n"/>
      <c r="O23" s="15" t="n"/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DNA</t>
        </is>
      </c>
      <c r="D24" s="5" t="inlineStr">
        <is>
          <t>deoxyribonucleic acid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0.57</v>
      </c>
      <c r="K24" s="5" t="inlineStr">
        <is>
          <t>none</t>
        </is>
      </c>
      <c r="L24" s="12" t="inlineStr">
        <is>
          <t>Solvent Identification Failure, c_value Out of Range</t>
        </is>
      </c>
      <c r="M24" s="13" t="inlineStr">
        <is>
          <t>Temperature Missing/Invalid</t>
        </is>
      </c>
      <c r="N24" s="15" t="n"/>
      <c r="O24" s="15" t="n"/>
    </row>
    <row r="25">
      <c r="A25" s="5" t="inlineStr">
        <is>
          <t>2009 - NMR Measure of Translational Diffusion and Fractal Dimension. Application to Molecular Mass Measurement</t>
        </is>
      </c>
      <c r="B25" s="5" t="inlineStr">
        <is>
          <t>table2</t>
        </is>
      </c>
      <c r="C25" s="5" t="inlineStr">
        <is>
          <t>PEO in CDCl 3</t>
        </is>
      </c>
      <c r="D25" s="5" t="inlineStr">
        <is>
          <t>poly(ethylene oxide)</t>
        </is>
      </c>
      <c r="E25" s="5" t="inlineStr">
        <is>
          <t>CDCl3</t>
        </is>
      </c>
      <c r="F25" s="5" t="inlineStr">
        <is>
          <t>chloroform-d</t>
        </is>
      </c>
      <c r="G25" s="6" t="inlineStr">
        <is>
          <t>Not found</t>
        </is>
      </c>
      <c r="H25" s="6" t="n">
        <v>0.58</v>
      </c>
      <c r="I25" s="5" t="inlineStr">
        <is>
          <t>none</t>
        </is>
      </c>
      <c r="J25" s="6" t="n">
        <v>0.58</v>
      </c>
      <c r="K25" s="5" t="inlineStr">
        <is>
          <t>none</t>
        </is>
      </c>
      <c r="L25" s="12" t="inlineStr">
        <is>
          <t>D Value Out of Range</t>
        </is>
      </c>
      <c r="M25" s="13" t="inlineStr">
        <is>
          <t>Temperature Missing/Invalid</t>
        </is>
      </c>
      <c r="N25" s="6">
        <f>H25-J25*3</f>
        <v/>
      </c>
      <c r="O25" s="6">
        <f>H25-J25*6</f>
        <v/>
      </c>
    </row>
    <row r="26">
      <c r="A26" s="5" t="inlineStr">
        <is>
          <t>2009 - NMR Measure of Translational Diffusion and Fractal Dimension. Application to Molecular Mass Measurement</t>
        </is>
      </c>
      <c r="B26" s="5" t="inlineStr">
        <is>
          <t>table2</t>
        </is>
      </c>
      <c r="C26" s="5" t="inlineStr">
        <is>
          <t>denatured peptide a , c</t>
        </is>
      </c>
      <c r="D26" s="5" t="inlineStr">
        <is>
          <t>peptide</t>
        </is>
      </c>
      <c r="E26" s="5" t="inlineStr">
        <is>
          <t>Not found</t>
        </is>
      </c>
      <c r="F26" s="5" t="inlineStr">
        <is>
          <t>Not found</t>
        </is>
      </c>
      <c r="G26" s="6" t="n"/>
      <c r="H26" s="6" t="inlineStr">
        <is>
          <t>Not found</t>
        </is>
      </c>
      <c r="I26" s="5" t="inlineStr">
        <is>
          <t>none</t>
        </is>
      </c>
      <c r="J26" s="6" t="n">
        <v>0.58</v>
      </c>
      <c r="K26" s="5" t="inlineStr">
        <is>
          <t>none</t>
        </is>
      </c>
      <c r="L26" s="12" t="inlineStr">
        <is>
          <t>Solvent Identification Failure, c_value Out of Range</t>
        </is>
      </c>
      <c r="M26" s="13" t="inlineStr">
        <is>
          <t>Temperature Missing/Invalid</t>
        </is>
      </c>
      <c r="N26" s="15" t="n"/>
      <c r="O26" s="15" t="n"/>
    </row>
    <row r="27">
      <c r="A27" s="5" t="inlineStr">
        <is>
          <t>2009 - NMR Measure of Translational Diffusion and Fractal Dimension. Application to Molecular Mass Measurement</t>
        </is>
      </c>
      <c r="B27" s="5" t="inlineStr">
        <is>
          <t>table2</t>
        </is>
      </c>
      <c r="C27" s="5" t="inlineStr">
        <is>
          <t>PMMAin CDCl 3 above 25 kD</t>
        </is>
      </c>
      <c r="D27" s="5" t="inlineStr">
        <is>
          <t>poly(methyl methacrylate)</t>
        </is>
      </c>
      <c r="E27" s="5" t="inlineStr">
        <is>
          <t>CDCl3</t>
        </is>
      </c>
      <c r="F27" s="5" t="inlineStr">
        <is>
          <t>chloroform-d</t>
        </is>
      </c>
      <c r="G27" s="6" t="n"/>
      <c r="H27" s="6" t="inlineStr">
        <is>
          <t>Not found</t>
        </is>
      </c>
      <c r="I27" s="5" t="inlineStr">
        <is>
          <t>none</t>
        </is>
      </c>
      <c r="J27" s="6" t="n">
        <v>0.61</v>
      </c>
      <c r="K27" s="5" t="inlineStr">
        <is>
          <t>none</t>
        </is>
      </c>
      <c r="L27" s="12" t="inlineStr">
        <is>
          <t>c_value Out of Range</t>
        </is>
      </c>
      <c r="M27" s="13" t="inlineStr">
        <is>
          <t>Temperature Missing/Invalid</t>
        </is>
      </c>
      <c r="N27" s="15" t="n"/>
      <c r="O27" s="15" t="n"/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PS in CDCl 3 above 20 kD</t>
        </is>
      </c>
      <c r="D28" s="5" t="inlineStr">
        <is>
          <t>polystyrene</t>
        </is>
      </c>
      <c r="E28" s="5" t="inlineStr">
        <is>
          <t>CDCl3</t>
        </is>
      </c>
      <c r="F28" s="5" t="inlineStr">
        <is>
          <t>chloroform-d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0.61</v>
      </c>
      <c r="K28" s="5" t="inlineStr">
        <is>
          <t>none</t>
        </is>
      </c>
      <c r="L28" s="12" t="inlineStr">
        <is>
          <t>c_value Out of Range</t>
        </is>
      </c>
      <c r="M28" s="13" t="inlineStr">
        <is>
          <t>Temperature Missing/Invalid</t>
        </is>
      </c>
      <c r="N28" s="15" t="n"/>
      <c r="O28" s="15" t="n"/>
    </row>
    <row r="29">
      <c r="A29" s="5" t="inlineStr">
        <is>
          <t>2009 - NMR Measure of Translational Diffusion and Fractal Dimension. Application to Molecular Mass Measurement</t>
        </is>
      </c>
      <c r="B29" s="5" t="inlineStr">
        <is>
          <t>table2</t>
        </is>
      </c>
      <c r="C29" s="5" t="inlineStr">
        <is>
          <t>PS in THF above 20 kD</t>
        </is>
      </c>
      <c r="D29" s="5" t="inlineStr">
        <is>
          <t>polystyrene</t>
        </is>
      </c>
      <c r="E29" s="5" t="inlineStr">
        <is>
          <t>THF</t>
        </is>
      </c>
      <c r="F29" s="5" t="inlineStr">
        <is>
          <t>tetrahydrofuran</t>
        </is>
      </c>
      <c r="G29" s="6" t="inlineStr">
        <is>
          <t>Not found</t>
        </is>
      </c>
      <c r="H29" s="6" t="n">
        <v>0.62</v>
      </c>
      <c r="I29" s="5" t="inlineStr">
        <is>
          <t>none</t>
        </is>
      </c>
      <c r="J29" s="6" t="n">
        <v>0.62</v>
      </c>
      <c r="K29" s="5" t="inlineStr">
        <is>
          <t>none</t>
        </is>
      </c>
      <c r="L29" s="12" t="inlineStr">
        <is>
          <t>D Value Out of Range</t>
        </is>
      </c>
      <c r="M29" s="13" t="inlineStr">
        <is>
          <t>Temperature Missing/Invalid</t>
        </is>
      </c>
      <c r="N29" s="6">
        <f>H29-J29*3</f>
        <v/>
      </c>
      <c r="O29" s="6">
        <f>H29-J29*6</f>
        <v/>
      </c>
    </row>
    <row r="30">
      <c r="A30" s="5" t="inlineStr">
        <is>
          <t>2009 - NMR Measure of Translational Diffusion and Fractal Dimension. Application to Molecular Mass Measurement</t>
        </is>
      </c>
      <c r="B30" s="5" t="inlineStr">
        <is>
          <t>table2</t>
        </is>
      </c>
      <c r="C30" s="5" t="inlineStr">
        <is>
          <t>Linear alcanes</t>
        </is>
      </c>
      <c r="D30" s="5" t="inlineStr">
        <is>
          <t>Invalid chemical</t>
        </is>
      </c>
      <c r="E30" s="5" t="inlineStr">
        <is>
          <t>Not found</t>
        </is>
      </c>
      <c r="F30" s="5" t="inlineStr">
        <is>
          <t>Not found</t>
        </is>
      </c>
      <c r="G30" s="6" t="n"/>
      <c r="H30" s="6" t="inlineStr">
        <is>
          <t>Not found</t>
        </is>
      </c>
      <c r="I30" s="5" t="inlineStr">
        <is>
          <t>none</t>
        </is>
      </c>
      <c r="J30" s="6" t="n">
        <v>0.71</v>
      </c>
      <c r="K30" s="5" t="inlineStr">
        <is>
          <t>none</t>
        </is>
      </c>
      <c r="L30" s="12" t="inlineStr">
        <is>
          <t>Solvent Identification Failure, c_value Out of Range, Polymer Identification Failure</t>
        </is>
      </c>
      <c r="M30" s="13" t="inlineStr">
        <is>
          <t>Temperature Missing/Invalid</t>
        </is>
      </c>
      <c r="N30" s="15" t="n"/>
      <c r="O30" s="15" t="n"/>
    </row>
    <row r="31">
      <c r="A31" s="5" t="inlineStr">
        <is>
          <t>2014 - Determination of the Average Molecular Weight of Hydroxyethyl Starches by Diffusion Ordered NMR Spectroscopy</t>
        </is>
      </c>
      <c r="B31" s="5" t="inlineStr">
        <is>
          <t>table2</t>
        </is>
      </c>
      <c r="C31" s="5" t="inlineStr">
        <is>
          <t>Branched HES</t>
        </is>
      </c>
      <c r="D31" s="5" t="inlineStr">
        <is>
          <t>hydroxyethyl starch</t>
        </is>
      </c>
      <c r="E31" s="5" t="inlineStr">
        <is>
          <t>Not found</t>
        </is>
      </c>
      <c r="F31" s="5" t="inlineStr">
        <is>
          <t>Not found</t>
        </is>
      </c>
      <c r="G31" s="6" t="inlineStr">
        <is>
          <t>Not found</t>
        </is>
      </c>
      <c r="H31" s="6" t="n">
        <v>-8.441388858324551</v>
      </c>
      <c r="I31" s="5" t="inlineStr">
        <is>
          <t>(1/2.538) * (3 + log10(9.0314)) - 10</t>
        </is>
      </c>
      <c r="J31" s="6" t="n">
        <v>0.3940110323089047</v>
      </c>
      <c r="K31" s="5" t="inlineStr">
        <is>
          <t>1 / 2.538</t>
        </is>
      </c>
      <c r="L31" s="14" t="inlineStr">
        <is>
          <t>Solvent Identification Failure</t>
        </is>
      </c>
      <c r="M31" s="13" t="inlineStr">
        <is>
          <t>Temperature Missing/Invalid</t>
        </is>
      </c>
      <c r="N31" s="6">
        <f>H31-J31*3</f>
        <v/>
      </c>
      <c r="O31" s="6">
        <f>H31-J31*6</f>
        <v/>
      </c>
    </row>
    <row r="32">
      <c r="A32" s="5" t="inlineStr">
        <is>
          <t>2014 - Determination of the Average Molecular Weight of Hydroxyethyl Starches by Diffusion Ordered NMR Spectroscopy</t>
        </is>
      </c>
      <c r="B32" s="5" t="inlineStr">
        <is>
          <t>table2</t>
        </is>
      </c>
      <c r="C32" s="5" t="inlineStr">
        <is>
          <t>Low branched dextrans</t>
        </is>
      </c>
      <c r="D32" s="5" t="inlineStr">
        <is>
          <t>dextran</t>
        </is>
      </c>
      <c r="E32" s="5" t="inlineStr">
        <is>
          <t>Not found</t>
        </is>
      </c>
      <c r="F32" s="5" t="inlineStr">
        <is>
          <t>Not found</t>
        </is>
      </c>
      <c r="G32" s="6" t="inlineStr">
        <is>
          <t>Not found</t>
        </is>
      </c>
      <c r="H32" s="6" t="n">
        <v>-8.188873899957462</v>
      </c>
      <c r="I32" s="5" t="inlineStr">
        <is>
          <t>(1/2.164) * (3 + log10(8.3038)) - 10</t>
        </is>
      </c>
      <c r="J32" s="6" t="n">
        <v>0.4621072088724584</v>
      </c>
      <c r="K32" s="5" t="inlineStr">
        <is>
          <t>1 / 2.164</t>
        </is>
      </c>
      <c r="L32" s="14" t="inlineStr">
        <is>
          <t>Solvent Identification Failure</t>
        </is>
      </c>
      <c r="M32" s="13" t="inlineStr">
        <is>
          <t>Temperature Missing/Invalid</t>
        </is>
      </c>
      <c r="N32" s="6">
        <f>H32-J32*3</f>
        <v/>
      </c>
      <c r="O32" s="6">
        <f>H32-J32*6</f>
        <v/>
      </c>
    </row>
    <row r="33">
      <c r="A33" s="5" t="inlineStr">
        <is>
          <t>2014 - Determination of the Average Molecular Weight of Hydroxyethyl Starches by Diffusion Ordered NMR Spectroscopy</t>
        </is>
      </c>
      <c r="B33" s="5" t="inlineStr">
        <is>
          <t>table2</t>
        </is>
      </c>
      <c r="C33" s="5" t="inlineStr">
        <is>
          <t>Linear pullulans</t>
        </is>
      </c>
      <c r="D33" s="5" t="inlineStr">
        <is>
          <t>pullulan</t>
        </is>
      </c>
      <c r="E33" s="5" t="inlineStr">
        <is>
          <t>Not found</t>
        </is>
      </c>
      <c r="F33" s="5" t="inlineStr">
        <is>
          <t>Not found</t>
        </is>
      </c>
      <c r="G33" s="6" t="inlineStr">
        <is>
          <t>Not found</t>
        </is>
      </c>
      <c r="H33" s="6" t="n">
        <v>-7.791731106743535</v>
      </c>
      <c r="I33" s="5" t="inlineStr">
        <is>
          <t>(1/1.801) * (3 + log10(9.4862)) - 10</t>
        </is>
      </c>
      <c r="J33" s="6" t="n">
        <v>0.5552470849528041</v>
      </c>
      <c r="K33" s="5" t="inlineStr">
        <is>
          <t>1 / 1.801</t>
        </is>
      </c>
      <c r="L33" s="14" t="inlineStr">
        <is>
          <t>Solvent Identification Failure</t>
        </is>
      </c>
      <c r="M33" s="13" t="inlineStr">
        <is>
          <t>Temperature Missing/Invalid</t>
        </is>
      </c>
      <c r="N33" s="6">
        <f>H33-J33*3</f>
        <v/>
      </c>
      <c r="O33" s="6">
        <f>H33-J33*6</f>
        <v/>
      </c>
    </row>
    <row r="34">
      <c r="A34" s="5" t="inlineStr">
        <is>
          <t>2015 - Determination of the parameters of molecular-weight distribution of hydroxyethyl starches by diffusion-ordered NMR spectroscopy</t>
        </is>
      </c>
      <c r="B34" s="5" t="inlineStr">
        <is>
          <t>table3</t>
        </is>
      </c>
      <c r="C34" s="5" t="inlineStr">
        <is>
          <t>HES</t>
        </is>
      </c>
      <c r="D34" s="5" t="inlineStr">
        <is>
          <t>hydroxyethyl starch</t>
        </is>
      </c>
      <c r="E34" s="5" t="inlineStr">
        <is>
          <t>Not found</t>
        </is>
      </c>
      <c r="F34" s="5" t="inlineStr">
        <is>
          <t>Not found</t>
        </is>
      </c>
      <c r="G34" s="6" t="n"/>
      <c r="H34" s="6" t="n">
        <v>-25.154</v>
      </c>
      <c r="I34" s="5" t="inlineStr">
        <is>
          <t>None</t>
        </is>
      </c>
      <c r="J34" s="6" t="n">
        <v>0.3826</v>
      </c>
      <c r="K34" s="5" t="inlineStr">
        <is>
          <t>1 / v</t>
        </is>
      </c>
      <c r="L34" s="12" t="inlineStr">
        <is>
          <t>Solvent Identification Failure, D Value Out of Range</t>
        </is>
      </c>
      <c r="M34" s="13" t="inlineStr">
        <is>
          <t>Temperature Missing/Invalid</t>
        </is>
      </c>
      <c r="N34" s="6">
        <f>H34-J34*3</f>
        <v/>
      </c>
      <c r="O34" s="6">
        <f>H34-J34*6</f>
        <v/>
      </c>
    </row>
    <row r="35">
      <c r="A35" s="5" t="inlineStr">
        <is>
          <t>2015 - Determination of the parameters of molecular-weight distribution of hydroxyethyl starches by diffusion-ordered NMR spectroscopy</t>
        </is>
      </c>
      <c r="B35" s="5" t="inlineStr">
        <is>
          <t>table3</t>
        </is>
      </c>
      <c r="C35" s="5" t="inlineStr">
        <is>
          <t>HES</t>
        </is>
      </c>
      <c r="D35" s="5" t="inlineStr">
        <is>
          <t>hydroxyethyl starch</t>
        </is>
      </c>
      <c r="E35" s="5" t="inlineStr">
        <is>
          <t>Not found</t>
        </is>
      </c>
      <c r="F35" s="5" t="inlineStr">
        <is>
          <t>Not found</t>
        </is>
      </c>
      <c r="G35" s="6" t="n"/>
      <c r="H35" s="6" t="n">
        <v>-24.419</v>
      </c>
      <c r="I35" s="5" t="inlineStr">
        <is>
          <t>None</t>
        </is>
      </c>
      <c r="J35" s="6" t="n">
        <v>0.4</v>
      </c>
      <c r="K35" s="5" t="inlineStr">
        <is>
          <t>1 / v</t>
        </is>
      </c>
      <c r="L35" s="12" t="inlineStr">
        <is>
          <t>Solvent Identification Failure, D Value Out of Range</t>
        </is>
      </c>
      <c r="M35" s="13" t="inlineStr">
        <is>
          <t>Temperature Missing/Invalid</t>
        </is>
      </c>
      <c r="N35" s="6">
        <f>H35-J35*3</f>
        <v/>
      </c>
      <c r="O35" s="6">
        <f>H35-J35*6</f>
        <v/>
      </c>
    </row>
    <row r="36">
      <c r="A36" s="5" t="inlineStr">
        <is>
          <t>2015 - Determination of the parameters of molecular-weight distribution of hydroxyethyl starches by diffusion-ordered NMR spectroscopy</t>
        </is>
      </c>
      <c r="B36" s="5" t="inlineStr">
        <is>
          <t>table3</t>
        </is>
      </c>
      <c r="C36" s="5" t="inlineStr">
        <is>
          <t>HES</t>
        </is>
      </c>
      <c r="D36" s="5" t="inlineStr">
        <is>
          <t>hydroxyethyl starch</t>
        </is>
      </c>
      <c r="E36" s="5" t="inlineStr">
        <is>
          <t>Not found</t>
        </is>
      </c>
      <c r="F36" s="5" t="inlineStr">
        <is>
          <t>Not found</t>
        </is>
      </c>
      <c r="G36" s="6" t="n"/>
      <c r="H36" s="6" t="n">
        <v>-23.382</v>
      </c>
      <c r="I36" s="5" t="inlineStr">
        <is>
          <t>None</t>
        </is>
      </c>
      <c r="J36" s="6" t="n">
        <v>0.41</v>
      </c>
      <c r="K36" s="5" t="inlineStr">
        <is>
          <t>1 / v</t>
        </is>
      </c>
      <c r="L36" s="12" t="inlineStr">
        <is>
          <t>Solvent Identification Failure, D Value Out of Range</t>
        </is>
      </c>
      <c r="M36" s="13" t="inlineStr">
        <is>
          <t>Temperature Missing/Invalid</t>
        </is>
      </c>
      <c r="N36" s="6">
        <f>H36-J36*3</f>
        <v/>
      </c>
      <c r="O36" s="6">
        <f>H36-J36*6</f>
        <v/>
      </c>
    </row>
    <row r="37">
      <c r="A37" s="5" t="inlineStr">
        <is>
          <t>2015 - Determination of the parameters of molecular-weight distribution of hydroxyethyl starches by diffusion-ordered NMR spectroscopy</t>
        </is>
      </c>
      <c r="B37" s="5" t="inlineStr">
        <is>
          <t>table3</t>
        </is>
      </c>
      <c r="C37" s="5" t="inlineStr">
        <is>
          <t>HES</t>
        </is>
      </c>
      <c r="D37" s="5" t="inlineStr">
        <is>
          <t>hydroxyethyl starch</t>
        </is>
      </c>
      <c r="E37" s="5" t="inlineStr">
        <is>
          <t>Not found</t>
        </is>
      </c>
      <c r="F37" s="5" t="inlineStr">
        <is>
          <t>Not found</t>
        </is>
      </c>
      <c r="G37" s="6" t="n"/>
      <c r="H37" s="6" t="n">
        <v>-25.154</v>
      </c>
      <c r="I37" s="5" t="inlineStr">
        <is>
          <t>None</t>
        </is>
      </c>
      <c r="J37" s="6" t="n">
        <v>0.38</v>
      </c>
      <c r="K37" s="5" t="inlineStr">
        <is>
          <t>1 / v</t>
        </is>
      </c>
      <c r="L37" s="12" t="inlineStr">
        <is>
          <t>Solvent Identification Failure, D Value Out of Range</t>
        </is>
      </c>
      <c r="M37" s="13" t="inlineStr">
        <is>
          <t>Temperature Missing/Invalid</t>
        </is>
      </c>
      <c r="N37" s="6">
        <f>H37-J37*3</f>
        <v/>
      </c>
      <c r="O37" s="6">
        <f>H37-J37*6</f>
        <v/>
      </c>
    </row>
    <row r="38">
      <c r="A38" s="5" t="inlineStr">
        <is>
          <t>2015 - Determination of the parameters of molecular-weight distribution of hydroxyethyl starches by diffusion-ordered NMR spectroscopy</t>
        </is>
      </c>
      <c r="B38" s="5" t="inlineStr">
        <is>
          <t>table3</t>
        </is>
      </c>
      <c r="C38" s="5" t="inlineStr">
        <is>
          <t>H</t>
        </is>
      </c>
      <c r="D38" s="5" t="inlineStr">
        <is>
          <t>Invalid chemical</t>
        </is>
      </c>
      <c r="E38" s="5" t="inlineStr">
        <is>
          <t>Not found</t>
        </is>
      </c>
      <c r="F38" s="5" t="inlineStr">
        <is>
          <t>Not found</t>
        </is>
      </c>
      <c r="G38" s="6" t="n"/>
      <c r="H38" s="6" t="n">
        <v>-24.425</v>
      </c>
      <c r="I38" s="5" t="inlineStr">
        <is>
          <t>None</t>
        </is>
      </c>
      <c r="J38" s="6" t="n">
        <v>0.39</v>
      </c>
      <c r="K38" s="5" t="inlineStr">
        <is>
          <t>1 / v</t>
        </is>
      </c>
      <c r="L38" s="12" t="inlineStr">
        <is>
          <t>Solvent Identification Failure, Polymer Identification Failure, D Value Out of Range</t>
        </is>
      </c>
      <c r="M38" s="13" t="inlineStr">
        <is>
          <t>Temperature Missing/Invalid</t>
        </is>
      </c>
      <c r="N38" s="6">
        <f>H38-J38*3</f>
        <v/>
      </c>
      <c r="O38" s="6">
        <f>H38-J38*6</f>
        <v/>
      </c>
    </row>
    <row r="39">
      <c r="A39" s="5" t="inlineStr">
        <is>
          <t>2015 - Determination of the parameters of molecular-weight distribution of hydroxyethyl starches by diffusion-ordered NMR spectroscopy</t>
        </is>
      </c>
      <c r="B39" s="5" t="inlineStr">
        <is>
          <t>table3</t>
        </is>
      </c>
      <c r="C39" s="5" t="inlineStr">
        <is>
          <t>HES</t>
        </is>
      </c>
      <c r="D39" s="5" t="inlineStr">
        <is>
          <t>hydroxyethyl starch</t>
        </is>
      </c>
      <c r="E39" s="5" t="inlineStr">
        <is>
          <t>Not found</t>
        </is>
      </c>
      <c r="F39" s="5" t="inlineStr">
        <is>
          <t>Not found</t>
        </is>
      </c>
      <c r="G39" s="6" t="n"/>
      <c r="H39" s="6" t="inlineStr">
        <is>
          <t>Not found</t>
        </is>
      </c>
      <c r="I39" s="5" t="inlineStr">
        <is>
          <t>None</t>
        </is>
      </c>
      <c r="J39" s="6" t="n">
        <v>0.41</v>
      </c>
      <c r="K39" s="5" t="inlineStr">
        <is>
          <t>1 / v</t>
        </is>
      </c>
      <c r="L39" s="12" t="inlineStr">
        <is>
          <t>Solvent Identification Failure, c_value Out of Range</t>
        </is>
      </c>
      <c r="M39" s="13" t="inlineStr">
        <is>
          <t>Temperature Missing/Invalid</t>
        </is>
      </c>
      <c r="N39" s="15" t="n"/>
      <c r="O39" s="15" t="n"/>
    </row>
    <row r="40">
      <c r="A40" s="5" t="inlineStr">
        <is>
          <t>2016 - 1 H DOSY NMR Determination of the Molecular Weight and the Solution Properties of Poly-( N -acryloylmorpholine) in Various Solvents</t>
        </is>
      </c>
      <c r="B40" s="5" t="inlineStr">
        <is>
          <t>table2</t>
        </is>
      </c>
      <c r="C40" s="5" t="inlineStr">
        <is>
          <t>PNAM</t>
        </is>
      </c>
      <c r="D40" s="5" t="inlineStr">
        <is>
          <t>poly(N-isopropylacrylamide)</t>
        </is>
      </c>
      <c r="E40" s="5" t="inlineStr">
        <is>
          <t>D2O</t>
        </is>
      </c>
      <c r="F40" s="5" t="inlineStr">
        <is>
          <t>deuterium oxide</t>
        </is>
      </c>
      <c r="G40" s="6" t="n"/>
      <c r="H40" s="6" t="inlineStr">
        <is>
          <t>Not found</t>
        </is>
      </c>
      <c r="I40" s="5" t="inlineStr">
        <is>
          <t>Not found</t>
        </is>
      </c>
      <c r="J40" s="6" t="n">
        <v>0.48</v>
      </c>
      <c r="K40" s="5" t="inlineStr">
        <is>
          <t>none</t>
        </is>
      </c>
      <c r="L40" s="12" t="inlineStr">
        <is>
          <t>c_value Out of Range</t>
        </is>
      </c>
      <c r="M40" s="13" t="inlineStr">
        <is>
          <t>Temperature Missing/Invalid</t>
        </is>
      </c>
      <c r="N40" s="15" t="n"/>
      <c r="O40" s="15" t="n"/>
    </row>
    <row r="41">
      <c r="A41" s="5" t="inlineStr">
        <is>
          <t>2016 - 1 H DOSY NMR Determination of the Molecular Weight and the Solution Properties of Poly-( N -acryloylmorpholine) in Various Solvents</t>
        </is>
      </c>
      <c r="B41" s="5" t="inlineStr">
        <is>
          <t>table2</t>
        </is>
      </c>
      <c r="C41" s="5" t="inlineStr">
        <is>
          <t>PNAM</t>
        </is>
      </c>
      <c r="D41" s="5" t="inlineStr">
        <is>
          <t>poly(N-isopropylacrylamide)</t>
        </is>
      </c>
      <c r="E41" s="5" t="inlineStr">
        <is>
          <t>CDCl3</t>
        </is>
      </c>
      <c r="F41" s="5" t="inlineStr">
        <is>
          <t>chloroform-d</t>
        </is>
      </c>
      <c r="G41" s="6" t="n"/>
      <c r="H41" s="6" t="inlineStr">
        <is>
          <t>Not found</t>
        </is>
      </c>
      <c r="I41" s="5" t="inlineStr">
        <is>
          <t>Not found</t>
        </is>
      </c>
      <c r="J41" s="6" t="n">
        <v>0.48</v>
      </c>
      <c r="K41" s="5" t="inlineStr">
        <is>
          <t>none</t>
        </is>
      </c>
      <c r="L41" s="12" t="inlineStr">
        <is>
          <t>c_value Out of Range</t>
        </is>
      </c>
      <c r="M41" s="13" t="inlineStr">
        <is>
          <t>Temperature Missing/Invalid</t>
        </is>
      </c>
      <c r="N41" s="15" t="n"/>
      <c r="O41" s="15" t="n"/>
    </row>
    <row r="42">
      <c r="A42" s="5" t="inlineStr">
        <is>
          <t>2016 - 1 H DOSY NMR Determination of the Molecular Weight and the Solution Properties of Poly-( N -acryloylmorpholine) in Various Solvents</t>
        </is>
      </c>
      <c r="B42" s="5" t="inlineStr">
        <is>
          <t>table2</t>
        </is>
      </c>
      <c r="C42" s="5" t="inlineStr">
        <is>
          <t>PNAM</t>
        </is>
      </c>
      <c r="D42" s="5" t="inlineStr">
        <is>
          <t>poly(N-isopropylacrylamide)</t>
        </is>
      </c>
      <c r="E42" s="5" t="inlineStr">
        <is>
          <t>PBS, pH7.4</t>
        </is>
      </c>
      <c r="F42" s="5" t="inlineStr">
        <is>
          <t>phosphate buffered saline</t>
        </is>
      </c>
      <c r="G42" s="6" t="n"/>
      <c r="H42" s="6" t="inlineStr">
        <is>
          <t>Not found</t>
        </is>
      </c>
      <c r="I42" s="5" t="inlineStr">
        <is>
          <t>Not found</t>
        </is>
      </c>
      <c r="J42" s="6" t="n">
        <v>0.45</v>
      </c>
      <c r="K42" s="5" t="inlineStr">
        <is>
          <t>none</t>
        </is>
      </c>
      <c r="L42" s="12" t="inlineStr">
        <is>
          <t>c_value Out of Range</t>
        </is>
      </c>
      <c r="M42" s="13" t="inlineStr">
        <is>
          <t>Temperature Missing/Invalid</t>
        </is>
      </c>
      <c r="N42" s="15" t="n"/>
      <c r="O42" s="15" t="n"/>
    </row>
    <row r="43">
      <c r="A43" s="5" t="inlineStr">
        <is>
          <t>2016 - 1 H DOSY NMR Determination of the Molecular Weight and the Solution Properties of Poly-( N -acryloylmorpholine) in Various Solvents</t>
        </is>
      </c>
      <c r="B43" s="5" t="inlineStr">
        <is>
          <t>table2</t>
        </is>
      </c>
      <c r="C43" s="5" t="inlineStr">
        <is>
          <t>PNAM</t>
        </is>
      </c>
      <c r="D43" s="5" t="inlineStr">
        <is>
          <t>poly(N-isopropylacrylamide)</t>
        </is>
      </c>
      <c r="E43" s="5" t="inlineStr">
        <is>
          <t>D2O/MeOD 80/20</t>
        </is>
      </c>
      <c r="F43" s="5" t="inlineStr">
        <is>
          <t>deuterium oxide</t>
        </is>
      </c>
      <c r="G43" s="6" t="n"/>
      <c r="H43" s="6" t="inlineStr">
        <is>
          <t>Not found</t>
        </is>
      </c>
      <c r="I43" s="5" t="inlineStr">
        <is>
          <t>Not found</t>
        </is>
      </c>
      <c r="J43" s="6" t="n">
        <v>0.41</v>
      </c>
      <c r="K43" s="5" t="inlineStr">
        <is>
          <t>none</t>
        </is>
      </c>
      <c r="L43" s="12" t="inlineStr">
        <is>
          <t>c_value Out of Range</t>
        </is>
      </c>
      <c r="M43" s="13" t="inlineStr">
        <is>
          <t>Temperature Missing/Invalid</t>
        </is>
      </c>
      <c r="N43" s="15" t="n"/>
      <c r="O43" s="15" t="n"/>
    </row>
    <row r="44">
      <c r="A44" s="5" t="inlineStr">
        <is>
          <t>2019 - Quantitative Studies of Block Copolymers and Their Containing Homopolymer Components by Diffusion Ordered Spectroscopy</t>
        </is>
      </c>
      <c r="B44" s="5" t="inlineStr">
        <is>
          <t>table1</t>
        </is>
      </c>
      <c r="C44" s="5" t="inlineStr">
        <is>
          <t>PS</t>
        </is>
      </c>
      <c r="D44" s="5" t="inlineStr">
        <is>
          <t>polystyrene</t>
        </is>
      </c>
      <c r="E44" s="5" t="inlineStr">
        <is>
          <t>Not found</t>
        </is>
      </c>
      <c r="F44" s="5" t="inlineStr">
        <is>
          <t>Not found</t>
        </is>
      </c>
      <c r="G44" s="6" t="inlineStr">
        <is>
          <t>Not found</t>
        </is>
      </c>
      <c r="H44" s="6" t="n">
        <v>-7.490797477668897</v>
      </c>
      <c r="I44" s="5" t="inlineStr">
        <is>
          <t>log10</t>
        </is>
      </c>
      <c r="J44" s="6" t="n">
        <v>0.553</v>
      </c>
      <c r="K44" s="5" t="inlineStr">
        <is>
          <t>abs</t>
        </is>
      </c>
      <c r="L44" s="14" t="inlineStr">
        <is>
          <t>Solvent Identification Failure</t>
        </is>
      </c>
      <c r="M44" s="13" t="inlineStr">
        <is>
          <t>Temperature Missing/Invalid</t>
        </is>
      </c>
      <c r="N44" s="6">
        <f>H44-J44*3</f>
        <v/>
      </c>
      <c r="O44" s="6">
        <f>H44-J44*6</f>
        <v/>
      </c>
    </row>
    <row r="45">
      <c r="A45" s="5" t="inlineStr">
        <is>
          <t>2019 - Quantitative Studies of Block Copolymers and Their Containing Homopolymer Components by Diffusion Ordered Spectroscopy</t>
        </is>
      </c>
      <c r="B45" s="5" t="inlineStr">
        <is>
          <t>table1</t>
        </is>
      </c>
      <c r="C45" s="5" t="inlineStr">
        <is>
          <t>PS</t>
        </is>
      </c>
      <c r="D45" s="5" t="inlineStr">
        <is>
          <t>polystyrene</t>
        </is>
      </c>
      <c r="E45" s="5" t="inlineStr">
        <is>
          <t>Not found</t>
        </is>
      </c>
      <c r="F45" s="5" t="inlineStr">
        <is>
          <t>Not found</t>
        </is>
      </c>
      <c r="G45" s="6" t="inlineStr">
        <is>
          <t>Not found</t>
        </is>
      </c>
      <c r="H45" s="6" t="n">
        <v>-5.931814138253839</v>
      </c>
      <c r="I45" s="5" t="inlineStr">
        <is>
          <t>log10</t>
        </is>
      </c>
      <c r="J45" s="6" t="n">
        <v>0.899</v>
      </c>
      <c r="K45" s="5" t="inlineStr">
        <is>
          <t>abs</t>
        </is>
      </c>
      <c r="L45" s="14" t="inlineStr">
        <is>
          <t>Solvent Identification Failure</t>
        </is>
      </c>
      <c r="M45" s="13" t="inlineStr">
        <is>
          <t>Temperature Missing/Invalid</t>
        </is>
      </c>
      <c r="N45" s="6">
        <f>H45-J45*3</f>
        <v/>
      </c>
      <c r="O45" s="6">
        <f>H45-J45*6</f>
        <v/>
      </c>
    </row>
    <row r="46">
      <c r="A46" s="5" t="inlineStr">
        <is>
          <t>2019 - Quantitative Studies of Block Copolymers and Their Containing Homopolymer Components by Diffusion Ordered Spectroscopy</t>
        </is>
      </c>
      <c r="B46" s="5" t="inlineStr">
        <is>
          <t>table1</t>
        </is>
      </c>
      <c r="C46" s="5" t="inlineStr">
        <is>
          <t>PMMA</t>
        </is>
      </c>
      <c r="D46" s="5" t="inlineStr">
        <is>
          <t>poly(methyl methacrylate)</t>
        </is>
      </c>
      <c r="E46" s="5" t="inlineStr">
        <is>
          <t>Not found</t>
        </is>
      </c>
      <c r="F46" s="5" t="inlineStr">
        <is>
          <t>Not found</t>
        </is>
      </c>
      <c r="G46" s="6" t="inlineStr">
        <is>
          <t>Not found</t>
        </is>
      </c>
      <c r="H46" s="6" t="n">
        <v>-7.54515513999149</v>
      </c>
      <c r="I46" s="5" t="inlineStr">
        <is>
          <t>log10</t>
        </is>
      </c>
      <c r="J46" s="6" t="n">
        <v>0.536</v>
      </c>
      <c r="K46" s="5" t="inlineStr">
        <is>
          <t>abs</t>
        </is>
      </c>
      <c r="L46" s="14" t="inlineStr">
        <is>
          <t>Solvent Identification Failure</t>
        </is>
      </c>
      <c r="M46" s="13" t="inlineStr">
        <is>
          <t>Temperature Missing/Invalid</t>
        </is>
      </c>
      <c r="N46" s="6">
        <f>H46-J46*3</f>
        <v/>
      </c>
      <c r="O46" s="6">
        <f>H46-J46*6</f>
        <v/>
      </c>
    </row>
    <row r="47">
      <c r="A47" s="5" t="inlineStr">
        <is>
          <t>2019 - Quantitative Studies of Block Copolymers and Their Containing Homopolymer Components by Diffusion Ordered Spectroscopy</t>
        </is>
      </c>
      <c r="B47" s="5" t="inlineStr">
        <is>
          <t>table1</t>
        </is>
      </c>
      <c r="C47" s="5" t="inlineStr">
        <is>
          <t>PMMA</t>
        </is>
      </c>
      <c r="D47" s="5" t="inlineStr">
        <is>
          <t>poly(methyl methacrylate)</t>
        </is>
      </c>
      <c r="E47" s="5" t="inlineStr">
        <is>
          <t>Not found</t>
        </is>
      </c>
      <c r="F47" s="5" t="inlineStr">
        <is>
          <t>Not found</t>
        </is>
      </c>
      <c r="G47" s="6" t="inlineStr">
        <is>
          <t>Not found</t>
        </is>
      </c>
      <c r="H47" s="6" t="n">
        <v>-5.872895201635193</v>
      </c>
      <c r="I47" s="5" t="inlineStr">
        <is>
          <t>log10</t>
        </is>
      </c>
      <c r="J47" s="6" t="n">
        <v>0.899</v>
      </c>
      <c r="K47" s="5" t="inlineStr">
        <is>
          <t>abs</t>
        </is>
      </c>
      <c r="L47" s="14" t="inlineStr">
        <is>
          <t>Solvent Identification Failure</t>
        </is>
      </c>
      <c r="M47" s="13" t="inlineStr">
        <is>
          <t>Temperature Missing/Invalid</t>
        </is>
      </c>
      <c r="N47" s="6">
        <f>H47-J47*3</f>
        <v/>
      </c>
      <c r="O47" s="6">
        <f>H47-J47*6</f>
        <v/>
      </c>
    </row>
    <row r="48">
      <c r="A48" s="5" t="inlineStr">
        <is>
          <t>2019 - Quantitative Studies of Block Copolymers and Their Containing Homopolymer Components by Diffusion Ordered Spectroscopy</t>
        </is>
      </c>
      <c r="B48" s="5" t="inlineStr">
        <is>
          <t>table1</t>
        </is>
      </c>
      <c r="C48" s="5" t="inlineStr">
        <is>
          <t>PI</t>
        </is>
      </c>
      <c r="D48" s="5" t="inlineStr">
        <is>
          <t>polyimide</t>
        </is>
      </c>
      <c r="E48" s="5" t="inlineStr">
        <is>
          <t>Not found</t>
        </is>
      </c>
      <c r="F48" s="5" t="inlineStr">
        <is>
          <t>Not found</t>
        </is>
      </c>
      <c r="G48" s="6" t="inlineStr">
        <is>
          <t>Not found</t>
        </is>
      </c>
      <c r="H48" s="6" t="n">
        <v>-7.388276691992658</v>
      </c>
      <c r="I48" s="5" t="inlineStr">
        <is>
          <t>log10</t>
        </is>
      </c>
      <c r="J48" s="6" t="n">
        <v>0.582</v>
      </c>
      <c r="K48" s="5" t="inlineStr">
        <is>
          <t>abs</t>
        </is>
      </c>
      <c r="L48" s="14" t="inlineStr">
        <is>
          <t>Solvent Identification Failure</t>
        </is>
      </c>
      <c r="M48" s="13" t="inlineStr">
        <is>
          <t>Temperature Missing/Invalid</t>
        </is>
      </c>
      <c r="N48" s="6">
        <f>H48-J48*3</f>
        <v/>
      </c>
      <c r="O48" s="6">
        <f>H48-J48*6</f>
        <v/>
      </c>
    </row>
    <row r="49">
      <c r="A49" s="5" t="inlineStr">
        <is>
          <t>2019 - Quantitative Studies of Block Copolymers and Their Containing Homopolymer Components by Diffusion Ordered Spectroscopy</t>
        </is>
      </c>
      <c r="B49" s="5" t="inlineStr">
        <is>
          <t>table1</t>
        </is>
      </c>
      <c r="C49" s="5" t="inlineStr">
        <is>
          <t>PI</t>
        </is>
      </c>
      <c r="D49" s="5" t="inlineStr">
        <is>
          <t>polyimide</t>
        </is>
      </c>
      <c r="E49" s="5" t="inlineStr">
        <is>
          <t>Not found</t>
        </is>
      </c>
      <c r="F49" s="5" t="inlineStr">
        <is>
          <t>Not found</t>
        </is>
      </c>
      <c r="G49" s="6" t="inlineStr">
        <is>
          <t>Not found</t>
        </is>
      </c>
      <c r="H49" s="6" t="n">
        <v>-5.099632871343529</v>
      </c>
      <c r="I49" s="5" t="inlineStr">
        <is>
          <t>log10</t>
        </is>
      </c>
      <c r="J49" s="6" t="n">
        <v>1.081</v>
      </c>
      <c r="K49" s="5" t="inlineStr">
        <is>
          <t>abs</t>
        </is>
      </c>
      <c r="L49" s="12" t="inlineStr">
        <is>
          <t>Solvent Identification Failure, v_value Out of Range</t>
        </is>
      </c>
      <c r="M49" s="13" t="inlineStr">
        <is>
          <t>Temperature Missing/Invalid</t>
        </is>
      </c>
      <c r="N49" s="6">
        <f>H49-J49*3</f>
        <v/>
      </c>
      <c r="O49" s="6">
        <f>H49-J49*6</f>
        <v/>
      </c>
    </row>
    <row r="50">
      <c r="A50" s="5" t="inlineStr">
        <is>
          <t>2020 - Application of 1H DOSY NMR in Measurement of Polystyrene Molecular Weights</t>
        </is>
      </c>
      <c r="B50" s="5" t="inlineStr">
        <is>
          <t>table2</t>
        </is>
      </c>
      <c r="C50" s="5" t="inlineStr">
        <is>
          <t>PS</t>
        </is>
      </c>
      <c r="D50" s="5" t="inlineStr">
        <is>
          <t>polystyrene</t>
        </is>
      </c>
      <c r="E50" s="5" t="inlineStr">
        <is>
          <t>chloroform</t>
        </is>
      </c>
      <c r="F50" s="5" t="inlineStr">
        <is>
          <t>chloroform</t>
        </is>
      </c>
      <c r="G50" s="6" t="n"/>
      <c r="H50" s="6" t="inlineStr">
        <is>
          <t>Not found</t>
        </is>
      </c>
      <c r="I50" s="5" t="inlineStr">
        <is>
          <t>Not found</t>
        </is>
      </c>
      <c r="J50" s="6" t="n">
        <v>0.65</v>
      </c>
      <c r="K50" s="5" t="inlineStr">
        <is>
          <t>Not found</t>
        </is>
      </c>
      <c r="L50" s="12" t="inlineStr">
        <is>
          <t>c_value Out of Range</t>
        </is>
      </c>
      <c r="M50" s="13" t="inlineStr">
        <is>
          <t>Temperature Missing/Invalid</t>
        </is>
      </c>
      <c r="N50" s="15" t="n"/>
      <c r="O50" s="15" t="n"/>
    </row>
    <row r="51">
      <c r="A51" s="5" t="inlineStr">
        <is>
          <t>2021 - Solvent‐Independent Molecular Weight Determination of Polymers Based on a Truly  Universal Calibration</t>
        </is>
      </c>
      <c r="B51" s="5" t="inlineStr">
        <is>
          <t>table1</t>
        </is>
      </c>
      <c r="C51" s="5" t="inlineStr">
        <is>
          <t>PS</t>
        </is>
      </c>
      <c r="D51" s="5" t="inlineStr">
        <is>
          <t>polystyrene</t>
        </is>
      </c>
      <c r="E51" s="5" t="inlineStr">
        <is>
          <t>benzene</t>
        </is>
      </c>
      <c r="F51" s="5" t="inlineStr">
        <is>
          <t>benzene</t>
        </is>
      </c>
      <c r="G51" s="6" t="inlineStr">
        <is>
          <t>Not found</t>
        </is>
      </c>
      <c r="H51" s="6" t="n">
        <v>-7.7</v>
      </c>
      <c r="I51" s="5" t="inlineStr">
        <is>
          <t>sign_correction</t>
        </is>
      </c>
      <c r="J51" s="6" t="n">
        <v>0.54</v>
      </c>
      <c r="K51" s="5" t="inlineStr">
        <is>
          <t>none</t>
        </is>
      </c>
      <c r="L51" s="5" t="inlineStr">
        <is>
          <t>None</t>
        </is>
      </c>
      <c r="M51" s="13" t="inlineStr">
        <is>
          <t>Temperature Missing/Invalid</t>
        </is>
      </c>
      <c r="N51" s="6">
        <f>H51-J51*3</f>
        <v/>
      </c>
      <c r="O51" s="6">
        <f>H51-J51*6</f>
        <v/>
      </c>
    </row>
    <row r="52">
      <c r="A52" s="5" t="inlineStr">
        <is>
          <t>2021 - Solvent‐Independent Molecular Weight Determination of Polymers Based on a Truly  Universal Calibration</t>
        </is>
      </c>
      <c r="B52" s="5" t="inlineStr">
        <is>
          <t>table1</t>
        </is>
      </c>
      <c r="C52" s="5" t="inlineStr">
        <is>
          <t>pMA</t>
        </is>
      </c>
      <c r="D52" s="5" t="inlineStr">
        <is>
          <t>poly(methyl methacrylate)</t>
        </is>
      </c>
      <c r="E52" s="5" t="inlineStr">
        <is>
          <t>toluene</t>
        </is>
      </c>
      <c r="F52" s="5" t="inlineStr">
        <is>
          <t>toluene</t>
        </is>
      </c>
      <c r="G52" s="6" t="inlineStr">
        <is>
          <t>Not found</t>
        </is>
      </c>
      <c r="H52" s="6" t="n">
        <v>-7.72</v>
      </c>
      <c r="I52" s="5" t="inlineStr">
        <is>
          <t>sign_correction</t>
        </is>
      </c>
      <c r="J52" s="6" t="n">
        <v>0.5</v>
      </c>
      <c r="K52" s="5" t="inlineStr">
        <is>
          <t>none</t>
        </is>
      </c>
      <c r="L52" s="5" t="inlineStr">
        <is>
          <t>None</t>
        </is>
      </c>
      <c r="M52" s="13" t="inlineStr">
        <is>
          <t>Temperature Missing/Invalid</t>
        </is>
      </c>
      <c r="N52" s="6">
        <f>H52-J52*3</f>
        <v/>
      </c>
      <c r="O52" s="6">
        <f>H52-J52*6</f>
        <v/>
      </c>
    </row>
    <row r="53">
      <c r="A53" s="5" t="inlineStr">
        <is>
          <t>2021 - Solvent‐Independent Molecular Weight Determination of Polymers Based on a Truly  Universal Calibration</t>
        </is>
      </c>
      <c r="B53" s="5" t="inlineStr">
        <is>
          <t>table1</t>
        </is>
      </c>
      <c r="C53" s="5" t="inlineStr">
        <is>
          <t>pMMA</t>
        </is>
      </c>
      <c r="D53" s="5" t="inlineStr">
        <is>
          <t>poly(methyl methacrylate)</t>
        </is>
      </c>
      <c r="E53" s="5" t="inlineStr">
        <is>
          <t>CDCl 3</t>
        </is>
      </c>
      <c r="F53" s="5" t="inlineStr">
        <is>
          <t>chloroform-d</t>
        </is>
      </c>
      <c r="G53" s="6" t="inlineStr">
        <is>
          <t>Not found</t>
        </is>
      </c>
      <c r="H53" s="6" t="n">
        <v>-7.53</v>
      </c>
      <c r="I53" s="5" t="inlineStr">
        <is>
          <t>sign_correction</t>
        </is>
      </c>
      <c r="J53" s="6" t="n">
        <v>0.5600000000000001</v>
      </c>
      <c r="K53" s="5" t="inlineStr">
        <is>
          <t>none</t>
        </is>
      </c>
      <c r="L53" s="5" t="inlineStr">
        <is>
          <t>None</t>
        </is>
      </c>
      <c r="M53" s="13" t="inlineStr">
        <is>
          <t>Temperature Missing/Invalid</t>
        </is>
      </c>
      <c r="N53" s="6">
        <f>H53-J53*3</f>
        <v/>
      </c>
      <c r="O53" s="6">
        <f>H53-J53*6</f>
        <v/>
      </c>
    </row>
    <row r="54">
      <c r="A54" s="5" t="inlineStr">
        <is>
          <t>2021 - Solvent‐Independent Molecular Weight Determination of Polymers Based on a Truly  Universal Calibration</t>
        </is>
      </c>
      <c r="B54" s="5" t="inlineStr">
        <is>
          <t>table1</t>
        </is>
      </c>
      <c r="C54" s="5" t="inlineStr">
        <is>
          <t>dextrane</t>
        </is>
      </c>
      <c r="D54" s="5" t="inlineStr">
        <is>
          <t>dextran</t>
        </is>
      </c>
      <c r="E54" s="5" t="inlineStr">
        <is>
          <t>D 2 O</t>
        </is>
      </c>
      <c r="F54" s="5" t="inlineStr">
        <is>
          <t>deuterium oxide</t>
        </is>
      </c>
      <c r="G54" s="6" t="inlineStr">
        <is>
          <t>Not found</t>
        </is>
      </c>
      <c r="H54" s="6" t="n">
        <v>-8.140000000000001</v>
      </c>
      <c r="I54" s="5" t="inlineStr">
        <is>
          <t>sign_correction</t>
        </is>
      </c>
      <c r="J54" s="6" t="n">
        <v>0.47</v>
      </c>
      <c r="K54" s="5" t="inlineStr">
        <is>
          <t>none</t>
        </is>
      </c>
      <c r="L54" s="5" t="inlineStr">
        <is>
          <t>None</t>
        </is>
      </c>
      <c r="M54" s="13" t="inlineStr">
        <is>
          <t>Temperature Missing/Invalid</t>
        </is>
      </c>
      <c r="N54" s="6">
        <f>H54-J54*3</f>
        <v/>
      </c>
      <c r="O54" s="6">
        <f>H54-J54*6</f>
        <v/>
      </c>
    </row>
    <row r="55">
      <c r="A55" s="5" t="inlineStr">
        <is>
          <t>2021 - Solvent‐Independent Molecular Weight Determination of Polymers Based on a Truly  Universal Calibration</t>
        </is>
      </c>
      <c r="B55" s="5" t="inlineStr">
        <is>
          <t>table1</t>
        </is>
      </c>
      <c r="C55" s="5" t="inlineStr">
        <is>
          <t>pullane</t>
        </is>
      </c>
      <c r="D55" s="5" t="inlineStr">
        <is>
          <t>pullulan</t>
        </is>
      </c>
      <c r="E55" s="5" t="inlineStr">
        <is>
          <t>D 2 O</t>
        </is>
      </c>
      <c r="F55" s="5" t="inlineStr">
        <is>
          <t>deuterium oxide</t>
        </is>
      </c>
      <c r="G55" s="6" t="inlineStr">
        <is>
          <t>Not found</t>
        </is>
      </c>
      <c r="H55" s="6" t="n">
        <v>-8.199999999999999</v>
      </c>
      <c r="I55" s="5" t="inlineStr">
        <is>
          <t>sign_correction</t>
        </is>
      </c>
      <c r="J55" s="6" t="n">
        <v>0.49</v>
      </c>
      <c r="K55" s="5" t="inlineStr">
        <is>
          <t>none</t>
        </is>
      </c>
      <c r="L55" s="5" t="inlineStr">
        <is>
          <t>None</t>
        </is>
      </c>
      <c r="M55" s="13" t="inlineStr">
        <is>
          <t>Temperature Missing/Invalid</t>
        </is>
      </c>
      <c r="N55" s="6">
        <f>H55-J55*3</f>
        <v/>
      </c>
      <c r="O55" s="6">
        <f>H55-J55*6</f>
        <v/>
      </c>
    </row>
    <row r="56">
      <c r="A56" s="5" t="inlineStr">
        <is>
          <t>2021 - Solvent‐Independent Molecular Weight Determination of Polymers Based on a Truly  Universal Calibration</t>
        </is>
      </c>
      <c r="B56" s="5" t="inlineStr">
        <is>
          <t>table1</t>
        </is>
      </c>
      <c r="C56" s="5" t="inlineStr">
        <is>
          <t>PEG [a]</t>
        </is>
      </c>
      <c r="D56" s="5" t="inlineStr">
        <is>
          <t>poly(ethylene oxide)</t>
        </is>
      </c>
      <c r="E56" s="5" t="inlineStr">
        <is>
          <t>D 2 O</t>
        </is>
      </c>
      <c r="F56" s="5" t="inlineStr">
        <is>
          <t>deuterium oxide</t>
        </is>
      </c>
      <c r="G56" s="6" t="inlineStr">
        <is>
          <t>Not found</t>
        </is>
      </c>
      <c r="H56" s="6" t="n">
        <v>-8.390000000000001</v>
      </c>
      <c r="I56" s="5" t="inlineStr">
        <is>
          <t>sign_correction</t>
        </is>
      </c>
      <c r="J56" s="6" t="n">
        <v>0.47</v>
      </c>
      <c r="K56" s="5" t="inlineStr">
        <is>
          <t>none</t>
        </is>
      </c>
      <c r="L56" s="5" t="inlineStr">
        <is>
          <t>None</t>
        </is>
      </c>
      <c r="M56" s="13" t="inlineStr">
        <is>
          <t>Temperature Missing/Invalid</t>
        </is>
      </c>
      <c r="N56" s="6">
        <f>H56-J56*3</f>
        <v/>
      </c>
      <c r="O56" s="6">
        <f>H56-J56*6</f>
        <v/>
      </c>
    </row>
    <row r="57">
      <c r="A57" s="5" t="inlineStr">
        <is>
          <t>2021 - Solvent‐Independent Molecular Weight Determination of Polymers Based on a Truly  Universal Calibration</t>
        </is>
      </c>
      <c r="B57" s="5" t="inlineStr">
        <is>
          <t>table2</t>
        </is>
      </c>
      <c r="C57" s="5" t="inlineStr">
        <is>
          <t>polystyrene</t>
        </is>
      </c>
      <c r="D57" s="5" t="inlineStr">
        <is>
          <t>polystyrene</t>
        </is>
      </c>
      <c r="E57" s="5" t="inlineStr">
        <is>
          <t>benzene-d6</t>
        </is>
      </c>
      <c r="F57" s="5" t="inlineStr">
        <is>
          <t>benzene</t>
        </is>
      </c>
      <c r="G57" s="6" t="n"/>
      <c r="H57" s="6" t="n">
        <v>-7.94</v>
      </c>
      <c r="I57" s="5" t="inlineStr">
        <is>
          <t>minus_sign_correction</t>
        </is>
      </c>
      <c r="J57" s="6" t="n">
        <v>0.49</v>
      </c>
      <c r="K57" s="5" t="inlineStr">
        <is>
          <t>none</t>
        </is>
      </c>
      <c r="L57" s="5" t="inlineStr">
        <is>
          <t>None</t>
        </is>
      </c>
      <c r="M57" s="13" t="inlineStr">
        <is>
          <t>Temperature Missing/Invalid</t>
        </is>
      </c>
      <c r="N57" s="6">
        <f>H57-J57*3</f>
        <v/>
      </c>
      <c r="O57" s="6">
        <f>H57-J57*6</f>
        <v/>
      </c>
    </row>
    <row r="58">
      <c r="A58" s="5" t="inlineStr">
        <is>
          <t>2021 - Solvent‐Independent Molecular Weight Determination of Polymers Based on a Truly  Universal Calibration</t>
        </is>
      </c>
      <c r="B58" s="5" t="inlineStr">
        <is>
          <t>table2</t>
        </is>
      </c>
      <c r="C58" s="5" t="inlineStr">
        <is>
          <t>polystyrene</t>
        </is>
      </c>
      <c r="D58" s="5" t="inlineStr">
        <is>
          <t>polystyrene</t>
        </is>
      </c>
      <c r="E58" s="5" t="inlineStr">
        <is>
          <t>CDCl3</t>
        </is>
      </c>
      <c r="F58" s="5" t="inlineStr">
        <is>
          <t>chloroform-d</t>
        </is>
      </c>
      <c r="G58" s="6" t="n"/>
      <c r="H58" s="6" t="n">
        <v>-7.97</v>
      </c>
      <c r="I58" s="5" t="inlineStr">
        <is>
          <t>minus_sign_correction</t>
        </is>
      </c>
      <c r="J58" s="6" t="n">
        <v>0.46</v>
      </c>
      <c r="K58" s="5" t="inlineStr">
        <is>
          <t>none</t>
        </is>
      </c>
      <c r="L58" s="5" t="inlineStr">
        <is>
          <t>None</t>
        </is>
      </c>
      <c r="M58" s="13" t="inlineStr">
        <is>
          <t>Temperature Missing/Invalid</t>
        </is>
      </c>
      <c r="N58" s="6">
        <f>H58-J58*3</f>
        <v/>
      </c>
      <c r="O58" s="6">
        <f>H58-J58*6</f>
        <v/>
      </c>
    </row>
    <row r="59">
      <c r="A59" s="5" t="inlineStr">
        <is>
          <t>2021 - Solvent‐Independent Molecular Weight Determination of Polymers Based on a Truly  Universal Calibration</t>
        </is>
      </c>
      <c r="B59" s="5" t="inlineStr">
        <is>
          <t>table2</t>
        </is>
      </c>
      <c r="C59" s="5" t="inlineStr">
        <is>
          <t>polymer_name</t>
        </is>
      </c>
      <c r="D59" s="5" t="inlineStr">
        <is>
          <t>polymer_name</t>
        </is>
      </c>
      <c r="E59" s="5" t="inlineStr">
        <is>
          <t>acetone-d6</t>
        </is>
      </c>
      <c r="F59" s="5" t="inlineStr">
        <is>
          <t>acetone</t>
        </is>
      </c>
      <c r="G59" s="6" t="n"/>
      <c r="H59" s="6" t="n">
        <v>-7.78</v>
      </c>
      <c r="I59" s="5" t="inlineStr">
        <is>
          <t>minus_sign_correction</t>
        </is>
      </c>
      <c r="J59" s="6" t="n">
        <v>0.43</v>
      </c>
      <c r="K59" s="5" t="inlineStr">
        <is>
          <t>none</t>
        </is>
      </c>
      <c r="L59" s="5" t="inlineStr">
        <is>
          <t>None</t>
        </is>
      </c>
      <c r="M59" s="13" t="inlineStr">
        <is>
          <t>Temperature Missing/Invalid</t>
        </is>
      </c>
      <c r="N59" s="6">
        <f>H59-J59*3</f>
        <v/>
      </c>
      <c r="O59" s="6">
        <f>H59-J59*6</f>
        <v/>
      </c>
    </row>
    <row r="60">
      <c r="A60" s="5" t="inlineStr">
        <is>
          <t>2021 - Solvent‐Independent Molecular Weight Determination of Polymers Based on a Truly  Universal Calibration</t>
        </is>
      </c>
      <c r="B60" s="5" t="inlineStr">
        <is>
          <t>table2</t>
        </is>
      </c>
      <c r="C60" s="5" t="inlineStr">
        <is>
          <t>polystyrene</t>
        </is>
      </c>
      <c r="D60" s="5" t="inlineStr">
        <is>
          <t>polystyrene</t>
        </is>
      </c>
      <c r="E60" s="5" t="inlineStr">
        <is>
          <t>toluene-d8</t>
        </is>
      </c>
      <c r="F60" s="5" t="inlineStr">
        <is>
          <t>toluene</t>
        </is>
      </c>
      <c r="G60" s="6" t="n"/>
      <c r="H60" s="6" t="n">
        <v>-7.82</v>
      </c>
      <c r="I60" s="5" t="inlineStr">
        <is>
          <t>minus_sign_correction</t>
        </is>
      </c>
      <c r="J60" s="6" t="n">
        <v>0.51</v>
      </c>
      <c r="K60" s="5" t="inlineStr">
        <is>
          <t>none</t>
        </is>
      </c>
      <c r="L60" s="5" t="inlineStr">
        <is>
          <t>None</t>
        </is>
      </c>
      <c r="M60" s="13" t="inlineStr">
        <is>
          <t>Temperature Missing/Invalid</t>
        </is>
      </c>
      <c r="N60" s="6">
        <f>H60-J60*3</f>
        <v/>
      </c>
      <c r="O60" s="6">
        <f>H60-J60*6</f>
        <v/>
      </c>
    </row>
    <row r="61">
      <c r="A61" s="5" t="inlineStr">
        <is>
          <t>2021 - Solvent‐Independent Molecular Weight Determination of Polymers Based on a Truly  Universal Calibration</t>
        </is>
      </c>
      <c r="B61" s="5" t="inlineStr">
        <is>
          <t>table2</t>
        </is>
      </c>
      <c r="C61" s="5" t="inlineStr">
        <is>
          <t>polystyrene</t>
        </is>
      </c>
      <c r="D61" s="5" t="inlineStr">
        <is>
          <t>polystyrene</t>
        </is>
      </c>
      <c r="E61" s="5" t="inlineStr">
        <is>
          <t>THF-d8</t>
        </is>
      </c>
      <c r="F61" s="5" t="inlineStr">
        <is>
          <t>tetrahydrofuran</t>
        </is>
      </c>
      <c r="G61" s="6" t="n"/>
      <c r="H61" s="6" t="n">
        <v>-8.07</v>
      </c>
      <c r="I61" s="5" t="inlineStr">
        <is>
          <t>minus_sign_correction</t>
        </is>
      </c>
      <c r="J61" s="6" t="n">
        <v>0.42</v>
      </c>
      <c r="K61" s="5" t="inlineStr">
        <is>
          <t>none</t>
        </is>
      </c>
      <c r="L61" s="5" t="inlineStr">
        <is>
          <t>None</t>
        </is>
      </c>
      <c r="M61" s="13" t="inlineStr">
        <is>
          <t>Temperature Missing/Invalid</t>
        </is>
      </c>
      <c r="N61" s="6">
        <f>H61-J61*3</f>
        <v/>
      </c>
      <c r="O61" s="6">
        <f>H61-J61*6</f>
        <v/>
      </c>
    </row>
    <row r="62">
      <c r="A62" s="5" t="inlineStr">
        <is>
          <t>2021 - Solvent‐Independent Molecular Weight Determination of Polymers Based on a Truly  Universal Calibration</t>
        </is>
      </c>
      <c r="B62" s="5" t="inlineStr">
        <is>
          <t>table3</t>
        </is>
      </c>
      <c r="C62" s="5" t="inlineStr">
        <is>
          <t>poly(ethylene glycol)</t>
        </is>
      </c>
      <c r="D62" s="5" t="inlineStr">
        <is>
          <t>poly(ethylene oxide)</t>
        </is>
      </c>
      <c r="E62" s="5" t="inlineStr">
        <is>
          <t>D2O</t>
        </is>
      </c>
      <c r="F62" s="5" t="inlineStr">
        <is>
          <t>deuterium oxide</t>
        </is>
      </c>
      <c r="G62" s="6" t="n"/>
      <c r="H62" s="6" t="n">
        <v>-8.23</v>
      </c>
      <c r="I62" s="5" t="inlineStr">
        <is>
          <t>log10</t>
        </is>
      </c>
      <c r="J62" s="6" t="n">
        <v>0.49</v>
      </c>
      <c r="K62" s="5" t="inlineStr">
        <is>
          <t>Not found</t>
        </is>
      </c>
      <c r="L62" s="5" t="inlineStr">
        <is>
          <t>None</t>
        </is>
      </c>
      <c r="M62" s="13" t="inlineStr">
        <is>
          <t>Temperature Missing/Invalid</t>
        </is>
      </c>
      <c r="N62" s="6">
        <f>H62-J62*3</f>
        <v/>
      </c>
      <c r="O62" s="6">
        <f>H62-J62*6</f>
        <v/>
      </c>
    </row>
    <row r="63">
      <c r="A63" s="5" t="inlineStr">
        <is>
          <t>2021 - Solvent‐Independent Molecular Weight Determination of Polymers Based on a Truly  Universal Calibration</t>
        </is>
      </c>
      <c r="B63" s="5" t="inlineStr">
        <is>
          <t>table3</t>
        </is>
      </c>
      <c r="C63" s="5" t="inlineStr">
        <is>
          <t>poly(ethylene glycol)</t>
        </is>
      </c>
      <c r="D63" s="5" t="inlineStr">
        <is>
          <t>poly(ethylene oxide)</t>
        </is>
      </c>
      <c r="E63" s="5" t="inlineStr">
        <is>
          <t>methanol-d4</t>
        </is>
      </c>
      <c r="F63" s="5" t="inlineStr">
        <is>
          <t>methanol-d4</t>
        </is>
      </c>
      <c r="G63" s="6" t="n"/>
      <c r="H63" s="6" t="n">
        <v>-8.06</v>
      </c>
      <c r="I63" s="5" t="inlineStr">
        <is>
          <t>log10</t>
        </is>
      </c>
      <c r="J63" s="6" t="n">
        <v>0.45</v>
      </c>
      <c r="K63" s="5" t="inlineStr">
        <is>
          <t>Not found</t>
        </is>
      </c>
      <c r="L63" s="5" t="inlineStr">
        <is>
          <t>None</t>
        </is>
      </c>
      <c r="M63" s="13" t="inlineStr">
        <is>
          <t>Temperature Missing/Invalid</t>
        </is>
      </c>
      <c r="N63" s="6">
        <f>H63-J63*3</f>
        <v/>
      </c>
      <c r="O63" s="6">
        <f>H63-J63*6</f>
        <v/>
      </c>
    </row>
    <row r="64">
      <c r="A64" s="5" t="inlineStr">
        <is>
          <t>2021 - Solvent‐Independent Molecular Weight Determination of Polymers Based on a Truly  Universal Calibration</t>
        </is>
      </c>
      <c r="B64" s="5" t="inlineStr">
        <is>
          <t>table3</t>
        </is>
      </c>
      <c r="C64" s="5" t="inlineStr">
        <is>
          <t>poly(ethylene glycol)</t>
        </is>
      </c>
      <c r="D64" s="5" t="inlineStr">
        <is>
          <t>poly(ethylene oxide)</t>
        </is>
      </c>
      <c r="E64" s="5" t="inlineStr">
        <is>
          <t>acetone-d6</t>
        </is>
      </c>
      <c r="F64" s="5" t="inlineStr">
        <is>
          <t>acetone</t>
        </is>
      </c>
      <c r="G64" s="6" t="n"/>
      <c r="H64" s="6" t="n">
        <v>-7.94</v>
      </c>
      <c r="I64" s="5" t="inlineStr">
        <is>
          <t>log10</t>
        </is>
      </c>
      <c r="J64" s="6" t="n">
        <v>0.41</v>
      </c>
      <c r="K64" s="5" t="inlineStr">
        <is>
          <t>Not found</t>
        </is>
      </c>
      <c r="L64" s="5" t="inlineStr">
        <is>
          <t>None</t>
        </is>
      </c>
      <c r="M64" s="13" t="inlineStr">
        <is>
          <t>Temperature Missing/Invalid</t>
        </is>
      </c>
      <c r="N64" s="6">
        <f>H64-J64*3</f>
        <v/>
      </c>
      <c r="O64" s="6">
        <f>H64-J64*6</f>
        <v/>
      </c>
    </row>
    <row r="65">
      <c r="A65" s="5" t="inlineStr">
        <is>
          <t>2021 - Solvent‐Independent Molecular Weight Determination of Polymers Based on a Truly  Universal Calibration</t>
        </is>
      </c>
      <c r="B65" s="5" t="inlineStr">
        <is>
          <t>table3</t>
        </is>
      </c>
      <c r="C65" s="5" t="inlineStr">
        <is>
          <t>poly(ethylene glycol)</t>
        </is>
      </c>
      <c r="D65" s="5" t="inlineStr">
        <is>
          <t>poly(ethylene oxide)</t>
        </is>
      </c>
      <c r="E65" s="5" t="inlineStr">
        <is>
          <t>THF-d8</t>
        </is>
      </c>
      <c r="F65" s="5" t="inlineStr">
        <is>
          <t>tetrahydrofuran</t>
        </is>
      </c>
      <c r="G65" s="6" t="n"/>
      <c r="H65" s="6" t="n">
        <v>-7.94</v>
      </c>
      <c r="I65" s="5" t="inlineStr">
        <is>
          <t>log10</t>
        </is>
      </c>
      <c r="J65" s="6" t="n">
        <v>0.46</v>
      </c>
      <c r="K65" s="5" t="inlineStr">
        <is>
          <t>Not found</t>
        </is>
      </c>
      <c r="L65" s="5" t="inlineStr">
        <is>
          <t>None</t>
        </is>
      </c>
      <c r="M65" s="13" t="inlineStr">
        <is>
          <t>Temperature Missing/Invalid</t>
        </is>
      </c>
      <c r="N65" s="6">
        <f>H65-J65*3</f>
        <v/>
      </c>
      <c r="O65" s="6">
        <f>H65-J65*6</f>
        <v/>
      </c>
    </row>
    <row r="66">
      <c r="A66" s="5" t="inlineStr">
        <is>
          <t>2021 - Solvent‐Independent Molecular Weight Determination of Polymers Based on a Truly  Universal Calibration</t>
        </is>
      </c>
      <c r="B66" s="5" t="inlineStr">
        <is>
          <t>table3</t>
        </is>
      </c>
      <c r="C66" s="5" t="inlineStr">
        <is>
          <t>poly(ethylene glycol)</t>
        </is>
      </c>
      <c r="D66" s="5" t="inlineStr">
        <is>
          <t>poly(ethylene oxide)</t>
        </is>
      </c>
      <c r="E66" s="5" t="inlineStr">
        <is>
          <t>poly(ethylene glycol)</t>
        </is>
      </c>
      <c r="F66" s="5" t="inlineStr">
        <is>
          <t>poly(ethylene oxide)</t>
        </is>
      </c>
      <c r="G66" s="6" t="n"/>
      <c r="H66" s="6" t="n">
        <v>-8.039999999999999</v>
      </c>
      <c r="I66" s="5" t="inlineStr">
        <is>
          <t>log10</t>
        </is>
      </c>
      <c r="J66" s="6" t="n">
        <v>0.45</v>
      </c>
      <c r="K66" s="5" t="inlineStr">
        <is>
          <t>Not found</t>
        </is>
      </c>
      <c r="L66" s="5" t="inlineStr">
        <is>
          <t>None</t>
        </is>
      </c>
      <c r="M66" s="13" t="inlineStr">
        <is>
          <t>Temperature Missing/Invalid</t>
        </is>
      </c>
      <c r="N66" s="6">
        <f>H66-J66*3</f>
        <v/>
      </c>
      <c r="O66" s="6">
        <f>H66-J66*6</f>
        <v/>
      </c>
    </row>
    <row r="67">
      <c r="A67" s="5" t="inlineStr">
        <is>
          <t>2021 - Solvent‐Independent Molecular Weight Determination of Polymers Based on a Truly  Universal Calibration</t>
        </is>
      </c>
      <c r="B67" s="5" t="inlineStr">
        <is>
          <t>table3</t>
        </is>
      </c>
      <c r="C67" s="5" t="inlineStr">
        <is>
          <t>poly(ethylene glycol)</t>
        </is>
      </c>
      <c r="D67" s="5" t="inlineStr">
        <is>
          <t>poly(ethylene oxide)</t>
        </is>
      </c>
      <c r="E67" s="5" t="inlineStr">
        <is>
          <t>ACN-d3</t>
        </is>
      </c>
      <c r="F67" s="5" t="inlineStr">
        <is>
          <t>acetonitrile-d3</t>
        </is>
      </c>
      <c r="G67" s="6" t="n"/>
      <c r="H67" s="6" t="n">
        <v>-7.88</v>
      </c>
      <c r="I67" s="5" t="inlineStr">
        <is>
          <t>log10</t>
        </is>
      </c>
      <c r="J67" s="6" t="n">
        <v>0.44</v>
      </c>
      <c r="K67" s="5" t="inlineStr">
        <is>
          <t>Not found</t>
        </is>
      </c>
      <c r="L67" s="5" t="inlineStr">
        <is>
          <t>None</t>
        </is>
      </c>
      <c r="M67" s="13" t="inlineStr">
        <is>
          <t>Temperature Missing/Invalid</t>
        </is>
      </c>
      <c r="N67" s="6">
        <f>H67-J67*3</f>
        <v/>
      </c>
      <c r="O67" s="6">
        <f>H67-J67*6</f>
        <v/>
      </c>
    </row>
    <row r="68">
      <c r="A68" s="5" t="inlineStr">
        <is>
          <t>2021 - Solvent‐Independent Molecular Weight Determination of Polymers Based on a Truly Universal Calibration SI</t>
        </is>
      </c>
      <c r="B68" s="5" t="inlineStr">
        <is>
          <t>table6</t>
        </is>
      </c>
      <c r="C68" s="5" t="inlineStr">
        <is>
          <t>poly(ethylene glycol)</t>
        </is>
      </c>
      <c r="D68" s="5" t="inlineStr">
        <is>
          <t>poly(ethylene oxide)</t>
        </is>
      </c>
      <c r="E68" s="5" t="inlineStr">
        <is>
          <t>D2O</t>
        </is>
      </c>
      <c r="F68" s="5" t="inlineStr">
        <is>
          <t>deuterium oxide</t>
        </is>
      </c>
      <c r="G68" s="6" t="n"/>
      <c r="H68" s="6" t="n">
        <v>-8.327</v>
      </c>
      <c r="I68" s="5" t="inlineStr">
        <is>
          <t>none</t>
        </is>
      </c>
      <c r="J68" s="6" t="n">
        <v>0.4466</v>
      </c>
      <c r="K68" s="5" t="inlineStr">
        <is>
          <t>abs(-0.4466)</t>
        </is>
      </c>
      <c r="L68" s="5" t="inlineStr">
        <is>
          <t>None</t>
        </is>
      </c>
      <c r="M68" s="13" t="inlineStr">
        <is>
          <t>Temperature Missing/Invalid</t>
        </is>
      </c>
      <c r="N68" s="6">
        <f>H68-J68*3</f>
        <v/>
      </c>
      <c r="O68" s="6">
        <f>H68-J68*6</f>
        <v/>
      </c>
    </row>
    <row r="69">
      <c r="A69" s="5" t="inlineStr">
        <is>
          <t>2021 - Solvent‐Independent Molecular Weight Determination of Polymers Based on a Truly Universal Calibration SI</t>
        </is>
      </c>
      <c r="B69" s="5" t="inlineStr">
        <is>
          <t>table7</t>
        </is>
      </c>
      <c r="C69" s="5" t="inlineStr">
        <is>
          <t>poly(ethylene glycol)</t>
        </is>
      </c>
      <c r="D69" s="5" t="inlineStr">
        <is>
          <t>poly(ethylene oxide)</t>
        </is>
      </c>
      <c r="E69" s="5" t="inlineStr">
        <is>
          <t>Not found</t>
        </is>
      </c>
      <c r="F69" s="5" t="inlineStr">
        <is>
          <t>Not found</t>
        </is>
      </c>
      <c r="G69" s="6" t="n"/>
      <c r="H69" s="6" t="n">
        <v>-8.391</v>
      </c>
      <c r="I69" s="5" t="inlineStr">
        <is>
          <t>Not found</t>
        </is>
      </c>
      <c r="J69" s="6" t="n">
        <v>0.4737</v>
      </c>
      <c r="K69" s="5" t="inlineStr">
        <is>
          <t>-1 * -0.4737</t>
        </is>
      </c>
      <c r="L69" s="14" t="inlineStr">
        <is>
          <t>Solvent Identification Failure</t>
        </is>
      </c>
      <c r="M69" s="13" t="inlineStr">
        <is>
          <t>Temperature Missing/Invalid</t>
        </is>
      </c>
      <c r="N69" s="6">
        <f>H69-J69*3</f>
        <v/>
      </c>
      <c r="O69" s="6">
        <f>H69-J69*6</f>
        <v/>
      </c>
    </row>
    <row r="70">
      <c r="A70" s="5" t="inlineStr">
        <is>
          <t>2022 - Molar Mass Distribution and Chemical Composition Distribution of PS‑b‑PMMA Block Copolymers Determined by Diffusion Ordered Spectroscopy</t>
        </is>
      </c>
      <c r="B70" s="5" t="inlineStr">
        <is>
          <t>table2</t>
        </is>
      </c>
      <c r="C70" s="5" t="inlineStr">
        <is>
          <t>PS</t>
        </is>
      </c>
      <c r="D70" s="5" t="inlineStr">
        <is>
          <t>polystyrene</t>
        </is>
      </c>
      <c r="E70" s="5" t="inlineStr">
        <is>
          <t>Not found</t>
        </is>
      </c>
      <c r="F70" s="5" t="inlineStr">
        <is>
          <t>Not found</t>
        </is>
      </c>
      <c r="G70" s="6" t="n"/>
      <c r="H70" s="6" t="n">
        <v>-7.395126229447365</v>
      </c>
      <c r="I70" s="5" t="inlineStr">
        <is>
          <t>log10</t>
        </is>
      </c>
      <c r="J70" s="6" t="n">
        <v>0.5659999999999999</v>
      </c>
      <c r="K70" s="5" t="inlineStr">
        <is>
          <t>abs</t>
        </is>
      </c>
      <c r="L70" s="14" t="inlineStr">
        <is>
          <t>Solvent Identification Failure</t>
        </is>
      </c>
      <c r="M70" s="13" t="inlineStr">
        <is>
          <t>Temperature Missing/Invalid</t>
        </is>
      </c>
      <c r="N70" s="6">
        <f>H70-J70*3</f>
        <v/>
      </c>
      <c r="O70" s="6">
        <f>H70-J70*6</f>
        <v/>
      </c>
    </row>
    <row r="71">
      <c r="A71" s="5" t="inlineStr">
        <is>
          <t>2022 - Molar Mass Distribution and Chemical Composition Distribution of PS‑b‑PMMA Block Copolymers Determined by Diffusion Ordered Spectroscopy</t>
        </is>
      </c>
      <c r="B71" s="5" t="inlineStr">
        <is>
          <t>table2</t>
        </is>
      </c>
      <c r="C71" s="5" t="inlineStr">
        <is>
          <t>PMMA</t>
        </is>
      </c>
      <c r="D71" s="5" t="inlineStr">
        <is>
          <t>poly(methyl methacrylate)</t>
        </is>
      </c>
      <c r="E71" s="5" t="inlineStr">
        <is>
          <t>Not found</t>
        </is>
      </c>
      <c r="F71" s="5" t="inlineStr">
        <is>
          <t>Not found</t>
        </is>
      </c>
      <c r="G71" s="6" t="n"/>
      <c r="H71" s="6" t="n">
        <v>-7.270673190353139</v>
      </c>
      <c r="I71" s="5" t="inlineStr">
        <is>
          <t>log10</t>
        </is>
      </c>
      <c r="J71" s="6" t="n">
        <v>0.592</v>
      </c>
      <c r="K71" s="5" t="inlineStr">
        <is>
          <t>abs</t>
        </is>
      </c>
      <c r="L71" s="14" t="inlineStr">
        <is>
          <t>Solvent Identification Failure</t>
        </is>
      </c>
      <c r="M71" s="13" t="inlineStr">
        <is>
          <t>Temperature Missing/Invalid</t>
        </is>
      </c>
      <c r="N71" s="6">
        <f>H71-J71*3</f>
        <v/>
      </c>
      <c r="O71" s="6">
        <f>H71-J71*6</f>
        <v/>
      </c>
    </row>
    <row r="72">
      <c r="A72" s="5" t="inlineStr">
        <is>
          <t>2023 - A fast and efficient way of obtaining the average molecular weight of block copolymers via DOSY</t>
        </is>
      </c>
      <c r="B72" s="5" t="inlineStr">
        <is>
          <t>table1</t>
        </is>
      </c>
      <c r="C72" s="5" t="inlineStr">
        <is>
          <t>pMMA</t>
        </is>
      </c>
      <c r="D72" s="5" t="inlineStr">
        <is>
          <t>poly(methyl methacrylate)</t>
        </is>
      </c>
      <c r="E72" s="5" t="inlineStr">
        <is>
          <t>Toluene</t>
        </is>
      </c>
      <c r="F72" s="5" t="inlineStr">
        <is>
          <t>toluene</t>
        </is>
      </c>
      <c r="G72" s="6" t="n"/>
      <c r="H72" s="6" t="n">
        <v>-8.109999999999999</v>
      </c>
      <c r="I72" s="5" t="inlineStr">
        <is>
          <t>none</t>
        </is>
      </c>
      <c r="J72" s="6" t="n">
        <v>0.43</v>
      </c>
      <c r="K72" s="5" t="inlineStr">
        <is>
          <t>none</t>
        </is>
      </c>
      <c r="L72" s="5" t="inlineStr">
        <is>
          <t>None</t>
        </is>
      </c>
      <c r="M72" s="13" t="inlineStr">
        <is>
          <t>Temperature Missing/Invalid</t>
        </is>
      </c>
      <c r="N72" s="6">
        <f>H72-J72*3</f>
        <v/>
      </c>
      <c r="O72" s="6">
        <f>H72-J72*6</f>
        <v/>
      </c>
    </row>
    <row r="73">
      <c r="A73" s="5" t="inlineStr">
        <is>
          <t>2023 - A fast and efficient way of obtaining the average molecular weight of block copolymers via DOSY</t>
        </is>
      </c>
      <c r="B73" s="5" t="inlineStr">
        <is>
          <t>table1</t>
        </is>
      </c>
      <c r="C73" s="5" t="inlineStr">
        <is>
          <t>pMMA</t>
        </is>
      </c>
      <c r="D73" s="5" t="inlineStr">
        <is>
          <t>poly(methyl methacrylate)</t>
        </is>
      </c>
      <c r="E73" s="5" t="inlineStr">
        <is>
          <t>Benzene</t>
        </is>
      </c>
      <c r="F73" s="5" t="inlineStr">
        <is>
          <t>benzene</t>
        </is>
      </c>
      <c r="G73" s="6" t="n"/>
      <c r="H73" s="6" t="n">
        <v>-7.91</v>
      </c>
      <c r="I73" s="5" t="inlineStr">
        <is>
          <t>none</t>
        </is>
      </c>
      <c r="J73" s="6" t="n">
        <v>0.48</v>
      </c>
      <c r="K73" s="5" t="inlineStr">
        <is>
          <t>none</t>
        </is>
      </c>
      <c r="L73" s="5" t="inlineStr">
        <is>
          <t>None</t>
        </is>
      </c>
      <c r="M73" s="13" t="inlineStr">
        <is>
          <t>Temperature Missing/Invalid</t>
        </is>
      </c>
      <c r="N73" s="6">
        <f>H73-J73*3</f>
        <v/>
      </c>
      <c r="O73" s="6">
        <f>H73-J73*6</f>
        <v/>
      </c>
    </row>
    <row r="74">
      <c r="A74" s="5" t="inlineStr">
        <is>
          <t>2023 - A fast and efficient way of obtaining the average molecular weight of block copolymers via DOSY</t>
        </is>
      </c>
      <c r="B74" s="5" t="inlineStr">
        <is>
          <t>table1</t>
        </is>
      </c>
      <c r="C74" s="5" t="inlineStr">
        <is>
          <t>pMMA</t>
        </is>
      </c>
      <c r="D74" s="5" t="inlineStr">
        <is>
          <t>poly(methyl methacrylate)</t>
        </is>
      </c>
      <c r="E74" s="5" t="inlineStr">
        <is>
          <t>Acetone</t>
        </is>
      </c>
      <c r="F74" s="5" t="inlineStr">
        <is>
          <t>acetone</t>
        </is>
      </c>
      <c r="G74" s="6" t="n"/>
      <c r="H74" s="6" t="n">
        <v>-7.74</v>
      </c>
      <c r="I74" s="5" t="inlineStr">
        <is>
          <t>none</t>
        </is>
      </c>
      <c r="J74" s="6" t="n">
        <v>0.44</v>
      </c>
      <c r="K74" s="5" t="inlineStr">
        <is>
          <t>none</t>
        </is>
      </c>
      <c r="L74" s="5" t="inlineStr">
        <is>
          <t>None</t>
        </is>
      </c>
      <c r="M74" s="13" t="inlineStr">
        <is>
          <t>Temperature Missing/Invalid</t>
        </is>
      </c>
      <c r="N74" s="6">
        <f>H74-J74*3</f>
        <v/>
      </c>
      <c r="O74" s="6">
        <f>H74-J74*6</f>
        <v/>
      </c>
    </row>
    <row r="75">
      <c r="A75" s="5" t="inlineStr">
        <is>
          <t>2023 - A fast and efficient way of obtaining the average molecular weight of block copolymers via DOSY</t>
        </is>
      </c>
      <c r="B75" s="5" t="inlineStr">
        <is>
          <t>table1</t>
        </is>
      </c>
      <c r="C75" s="5" t="inlineStr">
        <is>
          <t>pMMA</t>
        </is>
      </c>
      <c r="D75" s="5" t="inlineStr">
        <is>
          <t>poly(methyl methacrylate)</t>
        </is>
      </c>
      <c r="E75" s="5" t="inlineStr">
        <is>
          <t>THF</t>
        </is>
      </c>
      <c r="F75" s="5" t="inlineStr">
        <is>
          <t>tetrahydrofuran</t>
        </is>
      </c>
      <c r="G75" s="6" t="n"/>
      <c r="H75" s="6" t="n">
        <v>-8.02</v>
      </c>
      <c r="I75" s="5" t="inlineStr">
        <is>
          <t>none</t>
        </is>
      </c>
      <c r="J75" s="6" t="n">
        <v>0.43</v>
      </c>
      <c r="K75" s="5" t="inlineStr">
        <is>
          <t>none</t>
        </is>
      </c>
      <c r="L75" s="5" t="inlineStr">
        <is>
          <t>None</t>
        </is>
      </c>
      <c r="M75" s="13" t="inlineStr">
        <is>
          <t>Temperature Missing/Invalid</t>
        </is>
      </c>
      <c r="N75" s="6">
        <f>H75-J75*3</f>
        <v/>
      </c>
      <c r="O75" s="6">
        <f>H75-J75*6</f>
        <v/>
      </c>
    </row>
    <row r="76">
      <c r="A76" s="5" t="inlineStr">
        <is>
          <t>2023 - A fast and efficient way of obtaining the average molecular weight of block copolymers via DOSY</t>
        </is>
      </c>
      <c r="B76" s="5" t="inlineStr">
        <is>
          <t>table1</t>
        </is>
      </c>
      <c r="C76" s="5" t="inlineStr">
        <is>
          <t>pMMA</t>
        </is>
      </c>
      <c r="D76" s="5" t="inlineStr">
        <is>
          <t>poly(methyl methacrylate)</t>
        </is>
      </c>
      <c r="E76" s="5" t="inlineStr">
        <is>
          <t>D x η corrected</t>
        </is>
      </c>
      <c r="F76" s="5" t="inlineStr">
        <is>
          <t>Invalid chemical</t>
        </is>
      </c>
      <c r="G76" s="6" t="n"/>
      <c r="H76" s="6" t="n">
        <v>-8.27</v>
      </c>
      <c r="I76" s="5" t="inlineStr">
        <is>
          <t>none</t>
        </is>
      </c>
      <c r="J76" s="6" t="n">
        <v>0.45</v>
      </c>
      <c r="K76" s="5" t="inlineStr">
        <is>
          <t>none</t>
        </is>
      </c>
      <c r="L76" s="14" t="inlineStr">
        <is>
          <t>Solvent Identification Failure</t>
        </is>
      </c>
      <c r="M76" s="13" t="inlineStr">
        <is>
          <t>Temperature Missing/Invalid</t>
        </is>
      </c>
      <c r="N76" s="6">
        <f>H76-J76*3</f>
        <v/>
      </c>
      <c r="O76" s="6">
        <f>H76-J76*6</f>
        <v/>
      </c>
    </row>
    <row r="77">
      <c r="A77" s="5" t="inlineStr">
        <is>
          <t>2023 - A fast and efficient way of obtaining the average molecular weight of block copolymers via DOSY</t>
        </is>
      </c>
      <c r="B77" s="5" t="inlineStr">
        <is>
          <t>table3</t>
        </is>
      </c>
      <c r="C77" s="5" t="inlineStr">
        <is>
          <t>poly(butyl acrylate)</t>
        </is>
      </c>
      <c r="D77" s="5" t="inlineStr">
        <is>
          <t>poly(butyl acrylate)</t>
        </is>
      </c>
      <c r="E77" s="5" t="inlineStr">
        <is>
          <t>Benzene</t>
        </is>
      </c>
      <c r="F77" s="5" t="inlineStr">
        <is>
          <t>benzene</t>
        </is>
      </c>
      <c r="G77" s="6" t="n"/>
      <c r="H77" s="6" t="n">
        <v>-7.83</v>
      </c>
      <c r="I77" s="5" t="inlineStr">
        <is>
          <t>none</t>
        </is>
      </c>
      <c r="J77" s="6" t="n">
        <v>0.51</v>
      </c>
      <c r="K77" s="5" t="inlineStr">
        <is>
          <t>none</t>
        </is>
      </c>
      <c r="L77" s="5" t="inlineStr">
        <is>
          <t>None</t>
        </is>
      </c>
      <c r="M77" s="13" t="inlineStr">
        <is>
          <t>Temperature Missing/Invalid</t>
        </is>
      </c>
      <c r="N77" s="6">
        <f>H77-J77*3</f>
        <v/>
      </c>
      <c r="O77" s="6">
        <f>H77-J77*6</f>
        <v/>
      </c>
    </row>
    <row r="78">
      <c r="A78" s="5" t="inlineStr">
        <is>
          <t>2023 - A fast and efficient way of obtaining the average molecular weight of block copolymers via DOSY</t>
        </is>
      </c>
      <c r="B78" s="5" t="inlineStr">
        <is>
          <t>table3</t>
        </is>
      </c>
      <c r="C78" s="5" t="inlineStr">
        <is>
          <t>poly(butyl acrylate)</t>
        </is>
      </c>
      <c r="D78" s="5" t="inlineStr">
        <is>
          <t>poly(butyl acrylate)</t>
        </is>
      </c>
      <c r="E78" s="5" t="inlineStr">
        <is>
          <t>Acetone</t>
        </is>
      </c>
      <c r="F78" s="5" t="inlineStr">
        <is>
          <t>acetone</t>
        </is>
      </c>
      <c r="G78" s="6" t="n"/>
      <c r="H78" s="6" t="n">
        <v>-7.56</v>
      </c>
      <c r="I78" s="5" t="inlineStr">
        <is>
          <t>none</t>
        </is>
      </c>
      <c r="J78" s="6" t="n">
        <v>0.5</v>
      </c>
      <c r="K78" s="5" t="inlineStr">
        <is>
          <t>none</t>
        </is>
      </c>
      <c r="L78" s="5" t="inlineStr">
        <is>
          <t>None</t>
        </is>
      </c>
      <c r="M78" s="13" t="inlineStr">
        <is>
          <t>Temperature Missing/Invalid</t>
        </is>
      </c>
      <c r="N78" s="6">
        <f>H78-J78*3</f>
        <v/>
      </c>
      <c r="O78" s="6">
        <f>H78-J78*6</f>
        <v/>
      </c>
    </row>
    <row r="79">
      <c r="A79" s="5" t="inlineStr">
        <is>
          <t>2023 - A fast and efficient way of obtaining the average molecular weight of block copolymers via DOSY</t>
        </is>
      </c>
      <c r="B79" s="5" t="inlineStr">
        <is>
          <t>table3</t>
        </is>
      </c>
      <c r="C79" s="5" t="inlineStr">
        <is>
          <t>poly( 함께서 l acrylate own)</t>
        </is>
      </c>
      <c r="D79" s="5" t="inlineStr">
        <is>
          <t>Invalid chemical</t>
        </is>
      </c>
      <c r="E79" s="5" t="inlineStr">
        <is>
          <t>Chloroform</t>
        </is>
      </c>
      <c r="F79" s="5" t="inlineStr">
        <is>
          <t>chloroform</t>
        </is>
      </c>
      <c r="G79" s="6" t="n"/>
      <c r="H79" s="6" t="n">
        <v>-7.86</v>
      </c>
      <c r="I79" s="5" t="inlineStr">
        <is>
          <t>none</t>
        </is>
      </c>
      <c r="J79" s="6" t="n">
        <v>0.5</v>
      </c>
      <c r="K79" s="5" t="inlineStr">
        <is>
          <t>none</t>
        </is>
      </c>
      <c r="L79" s="14" t="inlineStr">
        <is>
          <t>Polymer Identification Failure</t>
        </is>
      </c>
      <c r="M79" s="13" t="inlineStr">
        <is>
          <t>Temperature Missing/Invalid</t>
        </is>
      </c>
      <c r="N79" s="6">
        <f>H79-J79*3</f>
        <v/>
      </c>
      <c r="O79" s="6">
        <f>H79-J79*6</f>
        <v/>
      </c>
    </row>
    <row r="80">
      <c r="A80" s="5" t="inlineStr">
        <is>
          <t>2023 - A fast and efficient way of obtaining the average molecular weight of block copolymers via DOSY</t>
        </is>
      </c>
      <c r="B80" s="5" t="inlineStr">
        <is>
          <t>table3</t>
        </is>
      </c>
      <c r="C80" s="5" t="inlineStr">
        <is>
          <t>poly(butyl acrylate)</t>
        </is>
      </c>
      <c r="D80" s="5" t="inlineStr">
        <is>
          <t>poly(butyl acrylate)</t>
        </is>
      </c>
      <c r="E80" s="5" t="inlineStr">
        <is>
          <t>D x η corrected</t>
        </is>
      </c>
      <c r="F80" s="5" t="inlineStr">
        <is>
          <t>Invalid chemical</t>
        </is>
      </c>
      <c r="G80" s="6" t="n"/>
      <c r="H80" s="6" t="n">
        <v>-8.050000000000001</v>
      </c>
      <c r="I80" s="5" t="inlineStr">
        <is>
          <t>none</t>
        </is>
      </c>
      <c r="J80" s="6" t="n">
        <v>0.51</v>
      </c>
      <c r="K80" s="5" t="inlineStr">
        <is>
          <t>none</t>
        </is>
      </c>
      <c r="L80" s="14" t="inlineStr">
        <is>
          <t>Solvent Identification Failure</t>
        </is>
      </c>
      <c r="M80" s="13" t="inlineStr">
        <is>
          <t>Temperature Missing/Invalid</t>
        </is>
      </c>
      <c r="N80" s="6">
        <f>H80-J80*3</f>
        <v/>
      </c>
      <c r="O80" s="6">
        <f>H80-J80*6</f>
        <v/>
      </c>
    </row>
    <row r="81">
      <c r="A81" s="5" t="inlineStr">
        <is>
          <t>2023 - A fast and efficient way of obtaining the average molecular weight of block copolymers via DOSY</t>
        </is>
      </c>
      <c r="B81" s="5" t="inlineStr">
        <is>
          <t>table6</t>
        </is>
      </c>
      <c r="C81" s="5" t="inlineStr">
        <is>
          <t>pPEGMEA</t>
        </is>
      </c>
      <c r="D81" s="5" t="inlineStr">
        <is>
          <t>poly(ethylene glycol methyl ether methacrylate)</t>
        </is>
      </c>
      <c r="E81" s="5" t="inlineStr">
        <is>
          <t>Water</t>
        </is>
      </c>
      <c r="F81" s="5" t="inlineStr">
        <is>
          <t>water</t>
        </is>
      </c>
      <c r="G81" s="6" t="n"/>
      <c r="H81" s="6" t="n">
        <v>-8.31</v>
      </c>
      <c r="I81" s="5" t="inlineStr">
        <is>
          <t>none</t>
        </is>
      </c>
      <c r="J81" s="6" t="n">
        <v>0.47</v>
      </c>
      <c r="K81" s="5" t="inlineStr">
        <is>
          <t>none</t>
        </is>
      </c>
      <c r="L81" s="5" t="inlineStr">
        <is>
          <t>None</t>
        </is>
      </c>
      <c r="M81" s="13" t="inlineStr">
        <is>
          <t>Temperature Missing/Invalid</t>
        </is>
      </c>
      <c r="N81" s="6">
        <f>H81-J81*3</f>
        <v/>
      </c>
      <c r="O81" s="6">
        <f>H81-J81*6</f>
        <v/>
      </c>
    </row>
    <row r="82">
      <c r="A82" s="5" t="inlineStr">
        <is>
          <t>2023 - A fast and efficient way of obtaining the average molecular weight of block copolymers via DOSY</t>
        </is>
      </c>
      <c r="B82" s="5" t="inlineStr">
        <is>
          <t>table6</t>
        </is>
      </c>
      <c r="C82" s="5" t="inlineStr">
        <is>
          <t>pPEGMEA</t>
        </is>
      </c>
      <c r="D82" s="5" t="inlineStr">
        <is>
          <t>poly(ethylene glycol methyl ether methacrylate)</t>
        </is>
      </c>
      <c r="E82" s="5" t="inlineStr">
        <is>
          <t>Acetone</t>
        </is>
      </c>
      <c r="F82" s="5" t="inlineStr">
        <is>
          <t>acetone</t>
        </is>
      </c>
      <c r="G82" s="6" t="n"/>
      <c r="H82" s="6" t="n">
        <v>-8.01</v>
      </c>
      <c r="I82" s="5" t="inlineStr">
        <is>
          <t>none</t>
        </is>
      </c>
      <c r="J82" s="6" t="n">
        <v>0.39</v>
      </c>
      <c r="K82" s="5" t="inlineStr">
        <is>
          <t>none</t>
        </is>
      </c>
      <c r="L82" s="5" t="inlineStr">
        <is>
          <t>None</t>
        </is>
      </c>
      <c r="M82" s="13" t="inlineStr">
        <is>
          <t>Temperature Missing/Invalid</t>
        </is>
      </c>
      <c r="N82" s="6">
        <f>H82-J82*3</f>
        <v/>
      </c>
      <c r="O82" s="6">
        <f>H82-J82*6</f>
        <v/>
      </c>
    </row>
    <row r="83">
      <c r="A83" s="5" t="inlineStr">
        <is>
          <t>2023 - A fast and efficient way of obtaining the average molecular weight of block copolymers via DOSY</t>
        </is>
      </c>
      <c r="B83" s="5" t="inlineStr">
        <is>
          <t>table6</t>
        </is>
      </c>
      <c r="C83" s="5" t="inlineStr">
        <is>
          <t>pPEGMEA</t>
        </is>
      </c>
      <c r="D83" s="5" t="inlineStr">
        <is>
          <t>poly(ethylene glycol methyl ether methacrylate)</t>
        </is>
      </c>
      <c r="E83" s="5" t="inlineStr">
        <is>
          <t>D x η corrected</t>
        </is>
      </c>
      <c r="F83" s="5" t="inlineStr">
        <is>
          <t>Invalid chemical</t>
        </is>
      </c>
      <c r="G83" s="6" t="n"/>
      <c r="H83" s="6" t="n">
        <v>-8.390000000000001</v>
      </c>
      <c r="I83" s="5" t="inlineStr">
        <is>
          <t>none</t>
        </is>
      </c>
      <c r="J83" s="6" t="n">
        <v>0.43</v>
      </c>
      <c r="K83" s="5" t="inlineStr">
        <is>
          <t>none</t>
        </is>
      </c>
      <c r="L83" s="14" t="inlineStr">
        <is>
          <t>Solvent Identification Failure</t>
        </is>
      </c>
      <c r="M83" s="13" t="inlineStr">
        <is>
          <t>Temperature Missing/Invalid</t>
        </is>
      </c>
      <c r="N83" s="6">
        <f>H83-J83*3</f>
        <v/>
      </c>
      <c r="O83" s="6">
        <f>H83-J83*6</f>
        <v/>
      </c>
    </row>
    <row r="84">
      <c r="A84" s="5" t="inlineStr">
        <is>
          <t>2023 - The Universal Calibration for Structure- and Solvent-Independent Molar Mass Determinations of Polymers Using Diffusion-Ordered Spectroscopy</t>
        </is>
      </c>
      <c r="B84" s="5" t="inlineStr">
        <is>
          <t>table1</t>
        </is>
      </c>
      <c r="C84" s="5" t="inlineStr">
        <is>
          <t>PS</t>
        </is>
      </c>
      <c r="D84" s="5" t="inlineStr">
        <is>
          <t>polystyrene</t>
        </is>
      </c>
      <c r="E84" s="5" t="inlineStr">
        <is>
          <t>THF-d8</t>
        </is>
      </c>
      <c r="F84" s="5" t="inlineStr">
        <is>
          <t>tetrahydrofuran</t>
        </is>
      </c>
      <c r="G84" s="6" t="n"/>
      <c r="H84" s="6" t="n">
        <v>-7.655839673984551</v>
      </c>
      <c r="I84" s="5" t="inlineStr">
        <is>
          <t>log10(c * 10^-8)</t>
        </is>
      </c>
      <c r="J84" s="6" t="n">
        <v>0.519361</v>
      </c>
      <c r="K84" s="5" t="inlineStr">
        <is>
          <t>none</t>
        </is>
      </c>
      <c r="L84" s="5" t="inlineStr">
        <is>
          <t>None</t>
        </is>
      </c>
      <c r="M84" s="13" t="inlineStr">
        <is>
          <t>Temperature Missing/Invalid</t>
        </is>
      </c>
      <c r="N84" s="6">
        <f>H84-J84*3</f>
        <v/>
      </c>
      <c r="O84" s="6">
        <f>H84-J84*6</f>
        <v/>
      </c>
    </row>
    <row r="85">
      <c r="A85" s="5" t="inlineStr">
        <is>
          <t>2023 - The Universal Calibration for Structure- and Solvent-Independent Molar Mass Determinations of Polymers Using Diffusion-Ordered Spectroscopy</t>
        </is>
      </c>
      <c r="B85" s="5" t="inlineStr">
        <is>
          <t>table1</t>
        </is>
      </c>
      <c r="C85" s="5" t="inlineStr">
        <is>
          <t>PS</t>
        </is>
      </c>
      <c r="D85" s="5" t="inlineStr">
        <is>
          <t>polystyrene</t>
        </is>
      </c>
      <c r="E85" s="5" t="inlineStr">
        <is>
          <t>CDCl3</t>
        </is>
      </c>
      <c r="F85" s="5" t="inlineStr">
        <is>
          <t>chloroform-d</t>
        </is>
      </c>
      <c r="G85" s="6" t="n"/>
      <c r="H85" s="6" t="n">
        <v>-7.630222150689829</v>
      </c>
      <c r="I85" s="5" t="inlineStr">
        <is>
          <t>log10(c * 10^-8)</t>
        </is>
      </c>
      <c r="J85" s="6" t="n">
        <v>0.534677</v>
      </c>
      <c r="K85" s="5" t="inlineStr">
        <is>
          <t>none</t>
        </is>
      </c>
      <c r="L85" s="5" t="inlineStr">
        <is>
          <t>None</t>
        </is>
      </c>
      <c r="M85" s="13" t="inlineStr">
        <is>
          <t>Temperature Missing/Invalid</t>
        </is>
      </c>
      <c r="N85" s="6">
        <f>H85-J85*3</f>
        <v/>
      </c>
      <c r="O85" s="6">
        <f>H85-J85*6</f>
        <v/>
      </c>
    </row>
    <row r="86">
      <c r="A86" s="5" t="inlineStr">
        <is>
          <t>2023 - The Universal Calibration for Structure- and Solvent-Independent Molar Mass Determinations of Polymers Using Diffusion-Ordered Spectroscopy</t>
        </is>
      </c>
      <c r="B86" s="5" t="inlineStr">
        <is>
          <t>table1</t>
        </is>
      </c>
      <c r="C86" s="5" t="inlineStr">
        <is>
          <t>PS</t>
        </is>
      </c>
      <c r="D86" s="5" t="inlineStr">
        <is>
          <t>polystyrene</t>
        </is>
      </c>
      <c r="E86" s="5" t="inlineStr">
        <is>
          <t>C6D6</t>
        </is>
      </c>
      <c r="F86" s="5" t="inlineStr">
        <is>
          <t>benzene</t>
        </is>
      </c>
      <c r="G86" s="6" t="n"/>
      <c r="H86" s="6" t="n">
        <v>-7.718505297869414</v>
      </c>
      <c r="I86" s="5" t="inlineStr">
        <is>
          <t>log10(c * 10^-8)</t>
        </is>
      </c>
      <c r="J86" s="6" t="n">
        <v>0.5283</v>
      </c>
      <c r="K86" s="5" t="inlineStr">
        <is>
          <t>none</t>
        </is>
      </c>
      <c r="L86" s="5" t="inlineStr">
        <is>
          <t>None</t>
        </is>
      </c>
      <c r="M86" s="13" t="inlineStr">
        <is>
          <t>Temperature Missing/Invalid</t>
        </is>
      </c>
      <c r="N86" s="6">
        <f>H86-J86*3</f>
        <v/>
      </c>
      <c r="O86" s="6">
        <f>H86-J86*6</f>
        <v/>
      </c>
    </row>
    <row r="87">
      <c r="A87" s="5" t="inlineStr">
        <is>
          <t>2023 - The Universal Calibration for Structure- and Solvent-Independent Molar Mass Determinations of Polymers Using Diffusion-Ordered Spectroscopy</t>
        </is>
      </c>
      <c r="B87" s="5" t="inlineStr">
        <is>
          <t>table1</t>
        </is>
      </c>
      <c r="C87" s="5" t="inlineStr">
        <is>
          <t>PS</t>
        </is>
      </c>
      <c r="D87" s="5" t="inlineStr">
        <is>
          <t>polystyrene</t>
        </is>
      </c>
      <c r="E87" s="5" t="inlineStr">
        <is>
          <t>toluene-d8</t>
        </is>
      </c>
      <c r="F87" s="5" t="inlineStr">
        <is>
          <t>toluene</t>
        </is>
      </c>
      <c r="G87" s="6" t="n"/>
      <c r="H87" s="6" t="n">
        <v>-7.670077622607558</v>
      </c>
      <c r="I87" s="5" t="inlineStr">
        <is>
          <t>log10(c * 10^-8)</t>
        </is>
      </c>
      <c r="J87" s="6" t="n">
        <v>0.531065</v>
      </c>
      <c r="K87" s="5" t="inlineStr">
        <is>
          <t>none</t>
        </is>
      </c>
      <c r="L87" s="5" t="inlineStr">
        <is>
          <t>None</t>
        </is>
      </c>
      <c r="M87" s="13" t="inlineStr">
        <is>
          <t>Temperature Missing/Invalid</t>
        </is>
      </c>
      <c r="N87" s="6">
        <f>H87-J87*3</f>
        <v/>
      </c>
      <c r="O87" s="6">
        <f>H87-J87*6</f>
        <v/>
      </c>
    </row>
    <row r="88">
      <c r="A88" s="5" t="inlineStr">
        <is>
          <t>2023 - The Universal Calibration for Structure- and Solvent-Independent Molar Mass Determinations of Polymers Using Diffusion-Ordered Spectroscopy</t>
        </is>
      </c>
      <c r="B88" s="5" t="inlineStr">
        <is>
          <t>table1</t>
        </is>
      </c>
      <c r="C88" s="5" t="inlineStr">
        <is>
          <t>PS</t>
        </is>
      </c>
      <c r="D88" s="5" t="inlineStr">
        <is>
          <t>polystyrene</t>
        </is>
      </c>
      <c r="E88" s="5" t="inlineStr">
        <is>
          <t>CD2Cl2</t>
        </is>
      </c>
      <c r="F88" s="5" t="inlineStr">
        <is>
          <t>dichloromethane</t>
        </is>
      </c>
      <c r="G88" s="6" t="n"/>
      <c r="H88" s="6" t="n">
        <v>-7.56166654250548</v>
      </c>
      <c r="I88" s="5" t="inlineStr">
        <is>
          <t>log10(c * 10^-8)</t>
        </is>
      </c>
      <c r="J88" s="6" t="n">
        <v>0.5214530000000001</v>
      </c>
      <c r="K88" s="5" t="inlineStr">
        <is>
          <t>none</t>
        </is>
      </c>
      <c r="L88" s="5" t="inlineStr">
        <is>
          <t>None</t>
        </is>
      </c>
      <c r="M88" s="13" t="inlineStr">
        <is>
          <t>Temperature Missing/Invalid</t>
        </is>
      </c>
      <c r="N88" s="6">
        <f>H88-J88*3</f>
        <v/>
      </c>
      <c r="O88" s="6">
        <f>H88-J88*6</f>
        <v/>
      </c>
    </row>
    <row r="89">
      <c r="A89" s="5" t="inlineStr">
        <is>
          <t>2023 - The Universal Calibration for Structure- and Solvent-Independent Molar Mass Determinations of Polymers Using Diffusion-Ordered Spectroscopy</t>
        </is>
      </c>
      <c r="B89" s="5" t="inlineStr">
        <is>
          <t>table1</t>
        </is>
      </c>
      <c r="C89" s="5" t="inlineStr">
        <is>
          <t>PS</t>
        </is>
      </c>
      <c r="D89" s="5" t="inlineStr">
        <is>
          <t>polystyrene</t>
        </is>
      </c>
      <c r="E89" s="5" t="inlineStr">
        <is>
          <t>acetone-d6</t>
        </is>
      </c>
      <c r="F89" s="5" t="inlineStr">
        <is>
          <t>acetone</t>
        </is>
      </c>
      <c r="G89" s="6" t="n"/>
      <c r="H89" s="6" t="n">
        <v>-7.679147780168245</v>
      </c>
      <c r="I89" s="5" t="inlineStr">
        <is>
          <t>log10(c * 10^-8)</t>
        </is>
      </c>
      <c r="J89" s="6" t="n">
        <v>0.452089</v>
      </c>
      <c r="K89" s="5" t="inlineStr">
        <is>
          <t>none</t>
        </is>
      </c>
      <c r="L89" s="5" t="inlineStr">
        <is>
          <t>None</t>
        </is>
      </c>
      <c r="M89" s="13" t="inlineStr">
        <is>
          <t>Temperature Missing/Invalid</t>
        </is>
      </c>
      <c r="N89" s="6">
        <f>H89-J89*3</f>
        <v/>
      </c>
      <c r="O89" s="6">
        <f>H89-J89*6</f>
        <v/>
      </c>
    </row>
    <row r="90">
      <c r="A90" s="5" t="inlineStr">
        <is>
          <t>2023 - The Universal Calibration for Structure- and Solvent-Independent Molar Mass Determinations of Polymers Using Diffusion-Ordered Spectroscopy</t>
        </is>
      </c>
      <c r="B90" s="5" t="inlineStr">
        <is>
          <t>table1</t>
        </is>
      </c>
      <c r="C90" s="5" t="inlineStr">
        <is>
          <t>PEO</t>
        </is>
      </c>
      <c r="D90" s="5" t="inlineStr">
        <is>
          <t>poly(ethylene oxide)</t>
        </is>
      </c>
      <c r="E90" s="5" t="inlineStr">
        <is>
          <t>CD3OD</t>
        </is>
      </c>
      <c r="F90" s="5" t="inlineStr">
        <is>
          <t>methanol-d4</t>
        </is>
      </c>
      <c r="G90" s="6" t="n"/>
      <c r="H90" s="6" t="n">
        <v>-7.843617451027789</v>
      </c>
      <c r="I90" s="5" t="inlineStr">
        <is>
          <t>log10(c * 10^-8)</t>
        </is>
      </c>
      <c r="J90" s="6" t="n">
        <v>0.504105</v>
      </c>
      <c r="K90" s="5" t="inlineStr">
        <is>
          <t>none</t>
        </is>
      </c>
      <c r="L90" s="5" t="inlineStr">
        <is>
          <t>None</t>
        </is>
      </c>
      <c r="M90" s="13" t="inlineStr">
        <is>
          <t>Temperature Missing/Invalid</t>
        </is>
      </c>
      <c r="N90" s="6">
        <f>H90-J90*3</f>
        <v/>
      </c>
      <c r="O90" s="6">
        <f>H90-J90*6</f>
        <v/>
      </c>
    </row>
    <row r="91">
      <c r="A91" s="5" t="inlineStr">
        <is>
          <t>2023 - The Universal Calibration for Structure- and Solvent-Independent Molar Mass Determinations of Polymers Using Diffusion-Ordered Spectroscopy</t>
        </is>
      </c>
      <c r="B91" s="5" t="inlineStr">
        <is>
          <t>table1</t>
        </is>
      </c>
      <c r="C91" s="5" t="inlineStr">
        <is>
          <t>PEO</t>
        </is>
      </c>
      <c r="D91" s="5" t="inlineStr">
        <is>
          <t>poly(ethylene oxide)</t>
        </is>
      </c>
      <c r="E91" s="5" t="inlineStr">
        <is>
          <t>D2O</t>
        </is>
      </c>
      <c r="F91" s="5" t="inlineStr">
        <is>
          <t>deuterium oxide</t>
        </is>
      </c>
      <c r="G91" s="6" t="n"/>
      <c r="H91" s="6" t="n">
        <v>-8.101177771017927</v>
      </c>
      <c r="I91" s="5" t="inlineStr">
        <is>
          <t>log10(c * 10^-8)</t>
        </is>
      </c>
      <c r="J91" s="6" t="n">
        <v>0.512155</v>
      </c>
      <c r="K91" s="5" t="inlineStr">
        <is>
          <t>none</t>
        </is>
      </c>
      <c r="L91" s="5" t="inlineStr">
        <is>
          <t>None</t>
        </is>
      </c>
      <c r="M91" s="13" t="inlineStr">
        <is>
          <t>Temperature Missing/Invalid</t>
        </is>
      </c>
      <c r="N91" s="6">
        <f>H91-J91*3</f>
        <v/>
      </c>
      <c r="O91" s="6">
        <f>H91-J91*6</f>
        <v/>
      </c>
    </row>
    <row r="92">
      <c r="A92" s="5" t="inlineStr">
        <is>
          <t>2023 - The Universal Calibration for Structure- and Solvent-Independent Molar Mass Determinations of Polymers Using Diffusion-Ordered Spectroscopy</t>
        </is>
      </c>
      <c r="B92" s="5" t="inlineStr">
        <is>
          <t>table1</t>
        </is>
      </c>
      <c r="C92" s="5" t="inlineStr">
        <is>
          <t>polymer_name</t>
        </is>
      </c>
      <c r="D92" s="5" t="inlineStr">
        <is>
          <t>polymer_name</t>
        </is>
      </c>
      <c r="E92" s="5" t="inlineStr">
        <is>
          <t>THF-d8</t>
        </is>
      </c>
      <c r="F92" s="5" t="inlineStr">
        <is>
          <t>tetrahydrofuran</t>
        </is>
      </c>
      <c r="G92" s="6" t="n"/>
      <c r="H92" s="6" t="n">
        <v>-7.733838887780599</v>
      </c>
      <c r="I92" s="5" t="inlineStr">
        <is>
          <t>log10(c * 10^-8)</t>
        </is>
      </c>
      <c r="J92" s="6" t="n">
        <v>0.513725</v>
      </c>
      <c r="K92" s="5" t="inlineStr">
        <is>
          <t>none</t>
        </is>
      </c>
      <c r="L92" s="5" t="inlineStr">
        <is>
          <t>None</t>
        </is>
      </c>
      <c r="M92" s="13" t="inlineStr">
        <is>
          <t>Temperature Missing/Invalid</t>
        </is>
      </c>
      <c r="N92" s="6">
        <f>H92-J92*3</f>
        <v/>
      </c>
      <c r="O92" s="6">
        <f>H92-J92*6</f>
        <v/>
      </c>
    </row>
    <row r="93">
      <c r="A93" s="5" t="inlineStr">
        <is>
          <t>2023 - The Universal Calibration for Structure- and Solvent-Independent Molar Mass Determinations of Polymers Using Diffusion-Ordered Spectroscopy</t>
        </is>
      </c>
      <c r="B93" s="5" t="inlineStr">
        <is>
          <t>table1</t>
        </is>
      </c>
      <c r="C93" s="5" t="inlineStr">
        <is>
          <t>PEO</t>
        </is>
      </c>
      <c r="D93" s="5" t="inlineStr">
        <is>
          <t>poly(ethylene oxide)</t>
        </is>
      </c>
      <c r="E93" s="5" t="inlineStr">
        <is>
          <t>CD3CN</t>
        </is>
      </c>
      <c r="F93" s="5" t="inlineStr">
        <is>
          <t>acetonitrile-d3</t>
        </is>
      </c>
      <c r="G93" s="6" t="n"/>
      <c r="H93" s="6" t="n">
        <v>-7.590203777049215</v>
      </c>
      <c r="I93" s="5" t="inlineStr">
        <is>
          <t>log10(c * 10^-8)</t>
        </is>
      </c>
      <c r="J93" s="6" t="n">
        <v>0.515853</v>
      </c>
      <c r="K93" s="5" t="inlineStr">
        <is>
          <t>none</t>
        </is>
      </c>
      <c r="L93" s="5" t="inlineStr">
        <is>
          <t>None</t>
        </is>
      </c>
      <c r="M93" s="13" t="inlineStr">
        <is>
          <t>Temperature Missing/Invalid</t>
        </is>
      </c>
      <c r="N93" s="6">
        <f>H93-J93*3</f>
        <v/>
      </c>
      <c r="O93" s="6">
        <f>H93-J93*6</f>
        <v/>
      </c>
    </row>
    <row r="94">
      <c r="A94" s="5" t="inlineStr">
        <is>
          <t>2023 - The Universal Calibration for Structure- and Solvent-Independent Molar Mass Determinations of Polymers Using Diffusion-Ordered Spectroscopy</t>
        </is>
      </c>
      <c r="B94" s="5" t="inlineStr">
        <is>
          <t>table1</t>
        </is>
      </c>
      <c r="C94" s="5" t="inlineStr">
        <is>
          <t>PEO</t>
        </is>
      </c>
      <c r="D94" s="5" t="inlineStr">
        <is>
          <t>poly(ethylene oxide)</t>
        </is>
      </c>
      <c r="E94" s="5" t="inlineStr">
        <is>
          <t>acetone-d6</t>
        </is>
      </c>
      <c r="F94" s="5" t="inlineStr">
        <is>
          <t>acetone</t>
        </is>
      </c>
      <c r="G94" s="6" t="n"/>
      <c r="H94" s="6" t="n">
        <v>-7.673502333065918</v>
      </c>
      <c r="I94" s="5" t="inlineStr">
        <is>
          <t>log10(c * 10^-8)</t>
        </is>
      </c>
      <c r="J94" s="6" t="n">
        <v>0.474477</v>
      </c>
      <c r="K94" s="5" t="inlineStr">
        <is>
          <t>none</t>
        </is>
      </c>
      <c r="L94" s="5" t="inlineStr">
        <is>
          <t>None</t>
        </is>
      </c>
      <c r="M94" s="13" t="inlineStr">
        <is>
          <t>Temperature Missing/Invalid</t>
        </is>
      </c>
      <c r="N94" s="6">
        <f>H94-J94*3</f>
        <v/>
      </c>
      <c r="O94" s="6">
        <f>H94-J94*6</f>
        <v/>
      </c>
    </row>
    <row r="95">
      <c r="A95" s="5" t="inlineStr">
        <is>
          <t>2023 - The Universal Calibration for Structure- and Solvent-Independent Molar Mass Determinations of Polymers Using Diffusion-Ordered Spectroscopy</t>
        </is>
      </c>
      <c r="B95" s="5" t="inlineStr">
        <is>
          <t>table1</t>
        </is>
      </c>
      <c r="C95" s="5" t="inlineStr">
        <is>
          <t>PMMA</t>
        </is>
      </c>
      <c r="D95" s="5" t="inlineStr">
        <is>
          <t>poly(methyl methacrylate)</t>
        </is>
      </c>
      <c r="E95" s="5" t="inlineStr">
        <is>
          <t>THF-d8</t>
        </is>
      </c>
      <c r="F95" s="5" t="inlineStr">
        <is>
          <t>tetrahydrofuran</t>
        </is>
      </c>
      <c r="G95" s="6" t="n"/>
      <c r="H95" s="6" t="n">
        <v>-7.61465473895388</v>
      </c>
      <c r="I95" s="5" t="inlineStr">
        <is>
          <t>log10(c * 10^-8)</t>
        </is>
      </c>
      <c r="J95" s="6" t="n">
        <v>0.517608</v>
      </c>
      <c r="K95" s="5" t="inlineStr">
        <is>
          <t>none</t>
        </is>
      </c>
      <c r="L95" s="5" t="inlineStr">
        <is>
          <t>None</t>
        </is>
      </c>
      <c r="M95" s="13" t="inlineStr">
        <is>
          <t>Temperature Missing/Invalid</t>
        </is>
      </c>
      <c r="N95" s="6">
        <f>H95-J95*3</f>
        <v/>
      </c>
      <c r="O95" s="6">
        <f>H95-J95*6</f>
        <v/>
      </c>
    </row>
    <row r="96">
      <c r="A96" s="5" t="inlineStr">
        <is>
          <t>2023 - The Universal Calibration for Structure- and Solvent-Independent Molar Mass Determinations of Polymers Using Diffusion-Ordered Spectroscopy</t>
        </is>
      </c>
      <c r="B96" s="5" t="inlineStr">
        <is>
          <t>table1</t>
        </is>
      </c>
      <c r="C96" s="5" t="inlineStr">
        <is>
          <t>PMMA</t>
        </is>
      </c>
      <c r="D96" s="5" t="inlineStr">
        <is>
          <t>poly(methyl methacrylate)</t>
        </is>
      </c>
      <c r="E96" s="5" t="inlineStr">
        <is>
          <t>CDCl3</t>
        </is>
      </c>
      <c r="F96" s="5" t="inlineStr">
        <is>
          <t>chloroform-d</t>
        </is>
      </c>
      <c r="G96" s="6" t="n"/>
      <c r="H96" s="6" t="n">
        <v>-7.579851091223765</v>
      </c>
      <c r="I96" s="5" t="inlineStr">
        <is>
          <t>log10(c * 10^-8)</t>
        </is>
      </c>
      <c r="J96" s="6" t="n">
        <v>0.543219</v>
      </c>
      <c r="K96" s="5" t="inlineStr">
        <is>
          <t>none</t>
        </is>
      </c>
      <c r="L96" s="5" t="inlineStr">
        <is>
          <t>None</t>
        </is>
      </c>
      <c r="M96" s="13" t="inlineStr">
        <is>
          <t>Temperature Missing/Invalid</t>
        </is>
      </c>
      <c r="N96" s="6">
        <f>H96-J96*3</f>
        <v/>
      </c>
      <c r="O96" s="6">
        <f>H96-J96*6</f>
        <v/>
      </c>
    </row>
    <row r="97">
      <c r="A97" s="5" t="inlineStr">
        <is>
          <t>2023 - The Universal Calibration for Structure- and Solvent-Independent Molar Mass Determinations of Polymers Using Diffusion-Ordered Spectroscopy</t>
        </is>
      </c>
      <c r="B97" s="5" t="inlineStr">
        <is>
          <t>table1</t>
        </is>
      </c>
      <c r="C97" s="5" t="inlineStr">
        <is>
          <t>PMMA</t>
        </is>
      </c>
      <c r="D97" s="5" t="inlineStr">
        <is>
          <t>poly(methyl methacrylate)</t>
        </is>
      </c>
      <c r="E97" s="5" t="inlineStr">
        <is>
          <t>C6D6</t>
        </is>
      </c>
      <c r="F97" s="5" t="inlineStr">
        <is>
          <t>benzene</t>
        </is>
      </c>
      <c r="G97" s="6" t="n"/>
      <c r="H97" s="6" t="n">
        <v>-7.683956229316216</v>
      </c>
      <c r="I97" s="5" t="inlineStr">
        <is>
          <t>log10(c * 10^-8)</t>
        </is>
      </c>
      <c r="J97" s="6" t="n">
        <v>0.530394</v>
      </c>
      <c r="K97" s="5" t="inlineStr">
        <is>
          <t>none</t>
        </is>
      </c>
      <c r="L97" s="5" t="inlineStr">
        <is>
          <t>None</t>
        </is>
      </c>
      <c r="M97" s="13" t="inlineStr">
        <is>
          <t>Temperature Missing/Invalid</t>
        </is>
      </c>
      <c r="N97" s="6">
        <f>H97-J97*3</f>
        <v/>
      </c>
      <c r="O97" s="6">
        <f>H97-J97*6</f>
        <v/>
      </c>
    </row>
    <row r="98">
      <c r="A98" s="5" t="inlineStr">
        <is>
          <t>2023 - The Universal Calibration for Structure- and Solvent-Independent Molar Mass Determinations of Polymers Using Diffusion-Ordered Spectroscopy</t>
        </is>
      </c>
      <c r="B98" s="5" t="inlineStr">
        <is>
          <t>table1</t>
        </is>
      </c>
      <c r="C98" s="5" t="inlineStr">
        <is>
          <t>PMMA</t>
        </is>
      </c>
      <c r="D98" s="5" t="inlineStr">
        <is>
          <t>poly(methyl methacrylate)</t>
        </is>
      </c>
      <c r="E98" s="5" t="inlineStr">
        <is>
          <t>CD2Cl2</t>
        </is>
      </c>
      <c r="F98" s="5" t="inlineStr">
        <is>
          <t>dichloromethane</t>
        </is>
      </c>
      <c r="G98" s="6" t="n"/>
      <c r="H98" s="6" t="n">
        <v>-7.48967889681907</v>
      </c>
      <c r="I98" s="5" t="inlineStr">
        <is>
          <t>log10(c * 10^-8)</t>
        </is>
      </c>
      <c r="J98" s="6" t="n">
        <v>0.53678</v>
      </c>
      <c r="K98" s="5" t="inlineStr">
        <is>
          <t>none</t>
        </is>
      </c>
      <c r="L98" s="5" t="inlineStr">
        <is>
          <t>None</t>
        </is>
      </c>
      <c r="M98" s="13" t="inlineStr">
        <is>
          <t>Temperature Missing/Invalid</t>
        </is>
      </c>
      <c r="N98" s="6">
        <f>H98-J98*3</f>
        <v/>
      </c>
      <c r="O98" s="6">
        <f>H98-J98*6</f>
        <v/>
      </c>
    </row>
    <row r="99">
      <c r="A99" s="5" t="inlineStr">
        <is>
          <t>2023 - The Universal Calibration for Structure- and Solvent-Independent Molar Mass Determinations of Polymers Using Diffusion-Ordered Spectroscopy</t>
        </is>
      </c>
      <c r="B99" s="5" t="inlineStr">
        <is>
          <t>table1</t>
        </is>
      </c>
      <c r="C99" s="5" t="inlineStr">
        <is>
          <t>PMMA</t>
        </is>
      </c>
      <c r="D99" s="5" t="inlineStr">
        <is>
          <t>poly(methyl methacrylate)</t>
        </is>
      </c>
      <c r="E99" s="5" t="inlineStr">
        <is>
          <t>DMSO</t>
        </is>
      </c>
      <c r="F99" s="5" t="inlineStr">
        <is>
          <t>dimethyl sulfoxide</t>
        </is>
      </c>
      <c r="G99" s="6" t="n"/>
      <c r="H99" s="6" t="n">
        <v>-8.505773029599105</v>
      </c>
      <c r="I99" s="5" t="inlineStr">
        <is>
          <t>log10(c * 10^-8)</t>
        </is>
      </c>
      <c r="J99" s="6" t="n">
        <v>0.444236</v>
      </c>
      <c r="K99" s="5" t="inlineStr">
        <is>
          <t>none</t>
        </is>
      </c>
      <c r="L99" s="5" t="inlineStr">
        <is>
          <t>None</t>
        </is>
      </c>
      <c r="M99" s="13" t="inlineStr">
        <is>
          <t>Temperature Missing/Invalid</t>
        </is>
      </c>
      <c r="N99" s="6">
        <f>H99-J99*3</f>
        <v/>
      </c>
      <c r="O99" s="6">
        <f>H99-J99*6</f>
        <v/>
      </c>
    </row>
    <row r="100">
      <c r="A100" s="5" t="inlineStr">
        <is>
          <t>2024 - Molar Mass Determination for Small and Large Molecules Using Diffusion-Ordered Spectroscopy - SI</t>
        </is>
      </c>
      <c r="B100" s="5" t="inlineStr">
        <is>
          <t>table7</t>
        </is>
      </c>
      <c r="C100" s="5" t="inlineStr">
        <is>
          <t>compact spheres (CS)</t>
        </is>
      </c>
      <c r="D100" s="5" t="inlineStr">
        <is>
          <t>Invalid chemical</t>
        </is>
      </c>
      <c r="E100" s="5" t="inlineStr">
        <is>
          <t>THF-d8</t>
        </is>
      </c>
      <c r="F100" s="5" t="inlineStr">
        <is>
          <t>tetrahydrofuran</t>
        </is>
      </c>
      <c r="G100" s="6" t="n">
        <v>298</v>
      </c>
      <c r="H100" s="6" t="n">
        <v>-7.721520776953677</v>
      </c>
      <c r="I100" s="5" t="inlineStr">
        <is>
          <t>log10</t>
        </is>
      </c>
      <c r="J100" s="6" t="n">
        <v>0.50087</v>
      </c>
      <c r="K100" s="5" t="inlineStr">
        <is>
          <t>none</t>
        </is>
      </c>
      <c r="L100" s="14" t="inlineStr">
        <is>
          <t>Polymer Identification Failure</t>
        </is>
      </c>
      <c r="M100" s="5" t="inlineStr">
        <is>
          <t>None</t>
        </is>
      </c>
      <c r="N100" s="6">
        <f>H100-J100*3</f>
        <v/>
      </c>
      <c r="O100" s="6">
        <f>H100-J100*6</f>
        <v/>
      </c>
    </row>
    <row r="101">
      <c r="A101" s="5" t="inlineStr">
        <is>
          <t>2024 - Molar Mass Determination for Small and Large Molecules Using Diffusion-Ordered Spectroscopy - SI</t>
        </is>
      </c>
      <c r="B101" s="5" t="inlineStr">
        <is>
          <t>table7</t>
        </is>
      </c>
      <c r="C101" s="5" t="inlineStr">
        <is>
          <t>compact spheres (CS)</t>
        </is>
      </c>
      <c r="D101" s="5" t="inlineStr">
        <is>
          <t>Invalid chemical</t>
        </is>
      </c>
      <c r="E101" s="5" t="inlineStr">
        <is>
          <t>C 6 D 6</t>
        </is>
      </c>
      <c r="F101" s="5" t="inlineStr">
        <is>
          <t>benzene</t>
        </is>
      </c>
      <c r="G101" s="6" t="n">
        <v>298</v>
      </c>
      <c r="H101" s="6" t="n">
        <v>-7.806318970458719</v>
      </c>
      <c r="I101" s="5" t="inlineStr">
        <is>
          <t>log10</t>
        </is>
      </c>
      <c r="J101" s="6" t="n">
        <v>0.4635</v>
      </c>
      <c r="K101" s="5" t="inlineStr">
        <is>
          <t>none</t>
        </is>
      </c>
      <c r="L101" s="14" t="inlineStr">
        <is>
          <t>Polymer Identification Failure</t>
        </is>
      </c>
      <c r="M101" s="5" t="inlineStr">
        <is>
          <t>None</t>
        </is>
      </c>
      <c r="N101" s="6">
        <f>H101-J101*3</f>
        <v/>
      </c>
      <c r="O101" s="6">
        <f>H101-J101*6</f>
        <v/>
      </c>
    </row>
    <row r="102">
      <c r="A102" s="5" t="inlineStr">
        <is>
          <t>2024 - Molar Mass Determination for Small and Large Molecules Using Diffusion-Ordered Spectroscopy - SI</t>
        </is>
      </c>
      <c r="B102" s="5" t="inlineStr">
        <is>
          <t>table7</t>
        </is>
      </c>
      <c r="C102" s="5" t="inlineStr">
        <is>
          <t>compact spheres (CS)</t>
        </is>
      </c>
      <c r="D102" s="5" t="inlineStr">
        <is>
          <t>Invalid chemical</t>
        </is>
      </c>
      <c r="E102" s="5" t="inlineStr">
        <is>
          <t>CDCl 3</t>
        </is>
      </c>
      <c r="F102" s="5" t="inlineStr">
        <is>
          <t>chloroform-d</t>
        </is>
      </c>
      <c r="G102" s="6" t="n">
        <v>298</v>
      </c>
      <c r="H102" s="6" t="n">
        <v>-7.814769583832438</v>
      </c>
      <c r="I102" s="5" t="inlineStr">
        <is>
          <t>log10</t>
        </is>
      </c>
      <c r="J102" s="6" t="n">
        <v>0.4837</v>
      </c>
      <c r="K102" s="5" t="inlineStr">
        <is>
          <t>none</t>
        </is>
      </c>
      <c r="L102" s="14" t="inlineStr">
        <is>
          <t>Polymer Identification Failure</t>
        </is>
      </c>
      <c r="M102" s="5" t="inlineStr">
        <is>
          <t>None</t>
        </is>
      </c>
      <c r="N102" s="6">
        <f>H102-J102*3</f>
        <v/>
      </c>
      <c r="O102" s="6">
        <f>H102-J102*6</f>
        <v/>
      </c>
    </row>
    <row r="103">
      <c r="A103" s="5" t="inlineStr">
        <is>
          <t>2024 - Molar Mass Determination for Small and Large Molecules Using Diffusion-Ordered Spectroscopy - SI</t>
        </is>
      </c>
      <c r="B103" s="5" t="inlineStr">
        <is>
          <t>table7</t>
        </is>
      </c>
      <c r="C103" s="5" t="inlineStr">
        <is>
          <t>compact spheres (CS)</t>
        </is>
      </c>
      <c r="D103" s="5" t="inlineStr">
        <is>
          <t>Invalid chemical</t>
        </is>
      </c>
      <c r="E103" s="5" t="inlineStr">
        <is>
          <t>CD 2 Cl 2</t>
        </is>
      </c>
      <c r="F103" s="5" t="inlineStr">
        <is>
          <t>dichloromethane</t>
        </is>
      </c>
      <c r="G103" s="6" t="n">
        <v>298</v>
      </c>
      <c r="H103" s="6" t="n">
        <v>-7.667500945081821</v>
      </c>
      <c r="I103" s="5" t="inlineStr">
        <is>
          <t>log10</t>
        </is>
      </c>
      <c r="J103" s="6" t="n">
        <v>0.5065</v>
      </c>
      <c r="K103" s="5" t="inlineStr">
        <is>
          <t>none</t>
        </is>
      </c>
      <c r="L103" s="14" t="inlineStr">
        <is>
          <t>Polymer Identification Failure</t>
        </is>
      </c>
      <c r="M103" s="5" t="inlineStr">
        <is>
          <t>None</t>
        </is>
      </c>
      <c r="N103" s="6">
        <f>H103-J103*3</f>
        <v/>
      </c>
      <c r="O103" s="6">
        <f>H103-J103*6</f>
        <v/>
      </c>
    </row>
    <row r="104">
      <c r="A104" s="5" t="inlineStr">
        <is>
          <t>2024 - Molar Mass Determination for Small and Large Molecules Using Diffusion-Ordered Spectroscopy - SI</t>
        </is>
      </c>
      <c r="B104" s="5" t="inlineStr">
        <is>
          <t>table7</t>
        </is>
      </c>
      <c r="C104" s="5" t="inlineStr">
        <is>
          <t>compact spheres (CS)</t>
        </is>
      </c>
      <c r="D104" s="5" t="inlineStr">
        <is>
          <t>Invalid chemical</t>
        </is>
      </c>
      <c r="E104" s="5" t="inlineStr">
        <is>
          <t>Toluene- d8</t>
        </is>
      </c>
      <c r="F104" s="5" t="inlineStr">
        <is>
          <t>toluene</t>
        </is>
      </c>
      <c r="G104" s="6" t="n">
        <v>298</v>
      </c>
      <c r="H104" s="6" t="n">
        <v>-7.744920557572424</v>
      </c>
      <c r="I104" s="5" t="inlineStr">
        <is>
          <t>log10</t>
        </is>
      </c>
      <c r="J104" s="6" t="n">
        <v>0.6198399999999999</v>
      </c>
      <c r="K104" s="5" t="inlineStr">
        <is>
          <t>none</t>
        </is>
      </c>
      <c r="L104" s="14" t="inlineStr">
        <is>
          <t>Polymer Identification Failure</t>
        </is>
      </c>
      <c r="M104" s="5" t="inlineStr">
        <is>
          <t>None</t>
        </is>
      </c>
      <c r="N104" s="6">
        <f>H104-J104*3</f>
        <v/>
      </c>
      <c r="O104" s="6">
        <f>H104-J104*6</f>
        <v/>
      </c>
    </row>
    <row r="105">
      <c r="A105" s="5" t="inlineStr">
        <is>
          <t>2024 - Molar Mass Determination for Small and Large Molecules Using Diffusion-Ordered Spectroscopy - SI</t>
        </is>
      </c>
      <c r="B105" s="5" t="inlineStr">
        <is>
          <t>table7</t>
        </is>
      </c>
      <c r="C105" s="5" t="inlineStr">
        <is>
          <t>compact spheres (CS)</t>
        </is>
      </c>
      <c r="D105" s="5" t="inlineStr">
        <is>
          <t>Invalid chemical</t>
        </is>
      </c>
      <c r="E105" s="5" t="inlineStr">
        <is>
          <t>DMSO-d6</t>
        </is>
      </c>
      <c r="F105" s="5" t="inlineStr">
        <is>
          <t>dimethyl sulfoxide</t>
        </is>
      </c>
      <c r="G105" s="6" t="n">
        <v>298</v>
      </c>
      <c r="H105" s="6" t="n">
        <v>-7.994948250006004</v>
      </c>
      <c r="I105" s="5" t="inlineStr">
        <is>
          <t>log10</t>
        </is>
      </c>
      <c r="J105" s="6" t="inlineStr">
        <is>
          <t>Not found</t>
        </is>
      </c>
      <c r="K105" s="5" t="inlineStr">
        <is>
          <t>none</t>
        </is>
      </c>
      <c r="L105" s="12" t="inlineStr">
        <is>
          <t>v_value Out of Range, Polymer Identification Failure</t>
        </is>
      </c>
      <c r="M105" s="5" t="inlineStr">
        <is>
          <t>None</t>
        </is>
      </c>
      <c r="N105" s="15" t="n"/>
      <c r="O105" s="15" t="n"/>
    </row>
    <row r="106">
      <c r="A106" s="5" t="inlineStr">
        <is>
          <t>2024 - Molar Mass Determination for Small and Large Molecules Using Diffusion-Ordered Spectroscopy - SI</t>
        </is>
      </c>
      <c r="B106" s="5" t="inlineStr">
        <is>
          <t>table7</t>
        </is>
      </c>
      <c r="C106" s="5" t="inlineStr">
        <is>
          <t>compact spheres (CS)</t>
        </is>
      </c>
      <c r="D106" s="5" t="inlineStr">
        <is>
          <t>Invalid chemical</t>
        </is>
      </c>
      <c r="E106" s="5" t="inlineStr">
        <is>
          <t>C 6 D 12</t>
        </is>
      </c>
      <c r="F106" s="5" t="inlineStr">
        <is>
          <t>cyclohexane-d12</t>
        </is>
      </c>
      <c r="G106" s="6" t="n">
        <v>298</v>
      </c>
      <c r="H106" s="6" t="n">
        <v>-7.720743822661493</v>
      </c>
      <c r="I106" s="5" t="inlineStr">
        <is>
          <t>log10</t>
        </is>
      </c>
      <c r="J106" s="6" t="n">
        <v>0.5889799999999999</v>
      </c>
      <c r="K106" s="5" t="inlineStr">
        <is>
          <t>none</t>
        </is>
      </c>
      <c r="L106" s="14" t="inlineStr">
        <is>
          <t>Polymer Identification Failure</t>
        </is>
      </c>
      <c r="M106" s="5" t="inlineStr">
        <is>
          <t>None</t>
        </is>
      </c>
      <c r="N106" s="6">
        <f>H106-J106*3</f>
        <v/>
      </c>
      <c r="O106" s="6">
        <f>H106-J106*6</f>
        <v/>
      </c>
    </row>
    <row r="107">
      <c r="A107" s="5" t="inlineStr">
        <is>
          <t>2024 - Molar Mass Determination for Small and Large Molecules Using Diffusion-Ordered Spectroscopy - SI</t>
        </is>
      </c>
      <c r="B107" s="5" t="inlineStr">
        <is>
          <t>table7</t>
        </is>
      </c>
      <c r="C107" s="5" t="inlineStr">
        <is>
          <t>dissipated spheres and ellipsoids (DSE)</t>
        </is>
      </c>
      <c r="D107" s="5" t="inlineStr">
        <is>
          <t>Invalid chemical</t>
        </is>
      </c>
      <c r="E107" s="5" t="inlineStr">
        <is>
          <t>THF-d8</t>
        </is>
      </c>
      <c r="F107" s="5" t="inlineStr">
        <is>
          <t>tetrahydrofuran</t>
        </is>
      </c>
      <c r="G107" s="6" t="n">
        <v>298</v>
      </c>
      <c r="H107" s="6" t="n">
        <v>-7.463277465517583</v>
      </c>
      <c r="I107" s="5" t="inlineStr">
        <is>
          <t>log10</t>
        </is>
      </c>
      <c r="J107" s="6" t="n">
        <v>0.61287</v>
      </c>
      <c r="K107" s="5" t="inlineStr">
        <is>
          <t>none</t>
        </is>
      </c>
      <c r="L107" s="14" t="inlineStr">
        <is>
          <t>Polymer Identification Failure</t>
        </is>
      </c>
      <c r="M107" s="5" t="inlineStr">
        <is>
          <t>None</t>
        </is>
      </c>
      <c r="N107" s="6">
        <f>H107-J107*3</f>
        <v/>
      </c>
      <c r="O107" s="6">
        <f>H107-J107*6</f>
        <v/>
      </c>
    </row>
    <row r="108">
      <c r="A108" s="5" t="inlineStr">
        <is>
          <t>2024 - Molar Mass Determination for Small and Large Molecules Using Diffusion-Ordered Spectroscopy - SI</t>
        </is>
      </c>
      <c r="B108" s="5" t="inlineStr">
        <is>
          <t>table7</t>
        </is>
      </c>
      <c r="C108" s="5" t="inlineStr">
        <is>
          <t>dissipated spheres and ellipsoids (DSE)</t>
        </is>
      </c>
      <c r="D108" s="5" t="inlineStr">
        <is>
          <t>Invalid chemical</t>
        </is>
      </c>
      <c r="E108" s="5" t="inlineStr">
        <is>
          <t>C 6 D 6</t>
        </is>
      </c>
      <c r="F108" s="5" t="inlineStr">
        <is>
          <t>benzene</t>
        </is>
      </c>
      <c r="G108" s="6" t="n">
        <v>298</v>
      </c>
      <c r="H108" s="6" t="n">
        <v>-7.448489009894183</v>
      </c>
      <c r="I108" s="5" t="inlineStr">
        <is>
          <t>log10</t>
        </is>
      </c>
      <c r="J108" s="6" t="n">
        <v>0.62975</v>
      </c>
      <c r="K108" s="5" t="inlineStr">
        <is>
          <t>none</t>
        </is>
      </c>
      <c r="L108" s="14" t="inlineStr">
        <is>
          <t>Polymer Identification Failure</t>
        </is>
      </c>
      <c r="M108" s="5" t="inlineStr">
        <is>
          <t>None</t>
        </is>
      </c>
      <c r="N108" s="6">
        <f>H108-J108*3</f>
        <v/>
      </c>
      <c r="O108" s="6">
        <f>H108-J108*6</f>
        <v/>
      </c>
    </row>
    <row r="109">
      <c r="A109" s="5" t="inlineStr">
        <is>
          <t>2024 - Molar Mass Determination for Small and Large Molecules Using Diffusion-Ordered Spectroscopy - SI</t>
        </is>
      </c>
      <c r="B109" s="5" t="inlineStr">
        <is>
          <t>table7</t>
        </is>
      </c>
      <c r="C109" s="5" t="inlineStr">
        <is>
          <t>dissipated spheres and ellipsoids (DSE)</t>
        </is>
      </c>
      <c r="D109" s="5" t="inlineStr">
        <is>
          <t>Invalid chemical</t>
        </is>
      </c>
      <c r="E109" s="5" t="inlineStr">
        <is>
          <t>CDCl 3</t>
        </is>
      </c>
      <c r="F109" s="5" t="inlineStr">
        <is>
          <t>chloroform-d</t>
        </is>
      </c>
      <c r="G109" s="6" t="n">
        <v>298</v>
      </c>
      <c r="H109" s="6" t="n">
        <v>-7.571039535424586</v>
      </c>
      <c r="I109" s="5" t="inlineStr">
        <is>
          <t>log10</t>
        </is>
      </c>
      <c r="J109" s="6" t="n">
        <v>0.57938</v>
      </c>
      <c r="K109" s="5" t="inlineStr">
        <is>
          <t>none</t>
        </is>
      </c>
      <c r="L109" s="14" t="inlineStr">
        <is>
          <t>Polymer Identification Failure</t>
        </is>
      </c>
      <c r="M109" s="5" t="inlineStr">
        <is>
          <t>None</t>
        </is>
      </c>
      <c r="N109" s="6">
        <f>H109-J109*3</f>
        <v/>
      </c>
      <c r="O109" s="6">
        <f>H109-J109*6</f>
        <v/>
      </c>
    </row>
    <row r="110">
      <c r="A110" s="5" t="inlineStr">
        <is>
          <t>2024 - Molar Mass Determination for Small and Large Molecules Using Diffusion-Ordered Spectroscopy - SI</t>
        </is>
      </c>
      <c r="B110" s="5" t="inlineStr">
        <is>
          <t>table7</t>
        </is>
      </c>
      <c r="C110" s="5" t="inlineStr">
        <is>
          <t xml:space="preserve">dissipated spheres and </t>
        </is>
      </c>
      <c r="D110" s="5" t="inlineStr">
        <is>
          <t>Invalid chemical</t>
        </is>
      </c>
      <c r="E110" s="5" t="inlineStr">
        <is>
          <t>CD 2 Cl 2</t>
        </is>
      </c>
      <c r="F110" s="5" t="inlineStr">
        <is>
          <t>dichloromethane</t>
        </is>
      </c>
      <c r="G110" s="6" t="n">
        <v>298</v>
      </c>
      <c r="H110" s="6" t="n">
        <v>-7.478574226104423</v>
      </c>
      <c r="I110" s="5" t="inlineStr">
        <is>
          <t>log10</t>
        </is>
      </c>
      <c r="J110" s="6" t="n">
        <v>0.56926</v>
      </c>
      <c r="K110" s="5" t="inlineStr">
        <is>
          <t>none</t>
        </is>
      </c>
      <c r="L110" s="14" t="inlineStr">
        <is>
          <t>Polymer Identification Failure</t>
        </is>
      </c>
      <c r="M110" s="5" t="inlineStr">
        <is>
          <t>None</t>
        </is>
      </c>
      <c r="N110" s="6">
        <f>H110-J110*3</f>
        <v/>
      </c>
      <c r="O110" s="6">
        <f>H110-J110*6</f>
        <v/>
      </c>
    </row>
    <row r="111">
      <c r="A111" s="5" t="inlineStr">
        <is>
          <t>2024 - Molar Mass Determination for Small and Large Molecules Using Diffusion-Ordered Spectroscopy - SI</t>
        </is>
      </c>
      <c r="B111" s="5" t="inlineStr">
        <is>
          <t>table7</t>
        </is>
      </c>
      <c r="C111" s="5" t="inlineStr">
        <is>
          <t>dissipated spheres and ellipsoids (DSE)</t>
        </is>
      </c>
      <c r="D111" s="5" t="inlineStr">
        <is>
          <t>Invalid chemical</t>
        </is>
      </c>
      <c r="E111" s="5" t="inlineStr">
        <is>
          <t>Toluene- d8</t>
        </is>
      </c>
      <c r="F111" s="5" t="inlineStr">
        <is>
          <t>toluene</t>
        </is>
      </c>
      <c r="G111" s="6" t="n">
        <v>298</v>
      </c>
      <c r="H111" s="6" t="n">
        <v>-7.503679344225049</v>
      </c>
      <c r="I111" s="5" t="inlineStr">
        <is>
          <t>log10</t>
        </is>
      </c>
      <c r="J111" s="6" t="n">
        <v>0.61902</v>
      </c>
      <c r="K111" s="5" t="inlineStr">
        <is>
          <t>none</t>
        </is>
      </c>
      <c r="L111" s="14" t="inlineStr">
        <is>
          <t>Polymer Identification Failure</t>
        </is>
      </c>
      <c r="M111" s="5" t="inlineStr">
        <is>
          <t>None</t>
        </is>
      </c>
      <c r="N111" s="6">
        <f>H111-J111*3</f>
        <v/>
      </c>
      <c r="O111" s="6">
        <f>H111-J111*6</f>
        <v/>
      </c>
    </row>
    <row r="112">
      <c r="A112" s="5" t="inlineStr">
        <is>
          <t>2024 - Molar Mass Determination for Small and Large Molecules Using Diffusion-Ordered Spectroscopy - SI</t>
        </is>
      </c>
      <c r="B112" s="5" t="inlineStr">
        <is>
          <t>table7</t>
        </is>
      </c>
      <c r="C112" s="5" t="inlineStr">
        <is>
          <t>dissipated spheres and ellipsoids (DSE)</t>
        </is>
      </c>
      <c r="D112" s="5" t="inlineStr">
        <is>
          <t>Invalid chemical</t>
        </is>
      </c>
      <c r="E112" s="5" t="inlineStr">
        <is>
          <t>DMSO-d6</t>
        </is>
      </c>
      <c r="F112" s="5" t="inlineStr">
        <is>
          <t>dimethyl sulfoxide</t>
        </is>
      </c>
      <c r="G112" s="6" t="n">
        <v>298</v>
      </c>
      <c r="H112" s="6" t="n">
        <v>-7.752419493766164</v>
      </c>
      <c r="I112" s="5" t="inlineStr">
        <is>
          <t>log10</t>
        </is>
      </c>
      <c r="J112" s="6" t="n">
        <v>0.72055</v>
      </c>
      <c r="K112" s="5" t="inlineStr">
        <is>
          <t>none</t>
        </is>
      </c>
      <c r="L112" s="12" t="inlineStr">
        <is>
          <t>Polymer Identification Failure, D Value Out of Range</t>
        </is>
      </c>
      <c r="M112" s="5" t="inlineStr">
        <is>
          <t>None</t>
        </is>
      </c>
      <c r="N112" s="6">
        <f>H112-J112*3</f>
        <v/>
      </c>
      <c r="O112" s="6">
        <f>H112-J112*6</f>
        <v/>
      </c>
    </row>
    <row r="113">
      <c r="A113" s="5" t="inlineStr">
        <is>
          <t>2024 - Molar Mass Determination for Small and Large Molecules Using Diffusion-Ordered Spectroscopy - SI</t>
        </is>
      </c>
      <c r="B113" s="5" t="inlineStr">
        <is>
          <t>table7</t>
        </is>
      </c>
      <c r="C113" s="5" t="inlineStr">
        <is>
          <t>dissipated spheres and ellipsoids (DSE)</t>
        </is>
      </c>
      <c r="D113" s="5" t="inlineStr">
        <is>
          <t>Invalid chemical</t>
        </is>
      </c>
      <c r="E113" s="5" t="inlineStr">
        <is>
          <t>C 6 D 12</t>
        </is>
      </c>
      <c r="F113" s="5" t="inlineStr">
        <is>
          <t>cyclohexane-d12</t>
        </is>
      </c>
      <c r="G113" s="6" t="n">
        <v>298</v>
      </c>
      <c r="H113" s="6" t="n">
        <v>-7.419268847259023</v>
      </c>
      <c r="I113" s="5" t="inlineStr">
        <is>
          <t>log10</t>
        </is>
      </c>
      <c r="J113" s="6" t="n">
        <v>0.7025</v>
      </c>
      <c r="K113" s="5" t="inlineStr">
        <is>
          <t>none</t>
        </is>
      </c>
      <c r="L113" s="14" t="inlineStr">
        <is>
          <t>Polymer Identification Failure</t>
        </is>
      </c>
      <c r="M113" s="5" t="inlineStr">
        <is>
          <t>None</t>
        </is>
      </c>
      <c r="N113" s="6">
        <f>H113-J113*3</f>
        <v/>
      </c>
      <c r="O113" s="6">
        <f>H113-J113*6</f>
        <v/>
      </c>
    </row>
    <row r="114">
      <c r="A114" s="5" t="inlineStr">
        <is>
          <t>2024 - Molar Mass Determination for Small and Large Molecules Using Diffusion-Ordered Spectroscopy - SI</t>
        </is>
      </c>
      <c r="B114" s="5" t="inlineStr">
        <is>
          <t>table7</t>
        </is>
      </c>
      <c r="C114" s="5" t="inlineStr">
        <is>
          <t>expanded discs (ED)</t>
        </is>
      </c>
      <c r="D114" s="5" t="inlineStr">
        <is>
          <t>Invalid chemical</t>
        </is>
      </c>
      <c r="E114" s="5" t="inlineStr">
        <is>
          <t>THF-d8</t>
        </is>
      </c>
      <c r="F114" s="5" t="inlineStr">
        <is>
          <t>tetrahydrofuran</t>
        </is>
      </c>
      <c r="G114" s="6" t="n">
        <v>298</v>
      </c>
      <c r="H114" s="6" t="n">
        <v>-7.05179738541101</v>
      </c>
      <c r="I114" s="5" t="inlineStr">
        <is>
          <t>log10</t>
        </is>
      </c>
      <c r="J114" s="6" t="n">
        <v>0.78013</v>
      </c>
      <c r="K114" s="5" t="inlineStr">
        <is>
          <t>none</t>
        </is>
      </c>
      <c r="L114" s="14" t="inlineStr">
        <is>
          <t>Polymer Identification Failure</t>
        </is>
      </c>
      <c r="M114" s="5" t="inlineStr">
        <is>
          <t>None</t>
        </is>
      </c>
      <c r="N114" s="6">
        <f>H114-J114*3</f>
        <v/>
      </c>
      <c r="O114" s="6">
        <f>H114-J114*6</f>
        <v/>
      </c>
    </row>
    <row r="115">
      <c r="A115" s="5" t="inlineStr">
        <is>
          <t>2024 - Molar Mass Determination for Small and Large Molecules Using Diffusion-Ordered Spectroscopy - SI</t>
        </is>
      </c>
      <c r="B115" s="5" t="inlineStr">
        <is>
          <t>table7</t>
        </is>
      </c>
      <c r="C115" s="5" t="inlineStr">
        <is>
          <t>expanded discs (ED)</t>
        </is>
      </c>
      <c r="D115" s="5" t="inlineStr">
        <is>
          <t>Invalid chemical</t>
        </is>
      </c>
      <c r="E115" s="5" t="inlineStr">
        <is>
          <t>C 6 D 6</t>
        </is>
      </c>
      <c r="F115" s="5" t="inlineStr">
        <is>
          <t>benzene</t>
        </is>
      </c>
      <c r="G115" s="6" t="n">
        <v>298</v>
      </c>
      <c r="H115" s="6" t="n">
        <v>-7.119163550716393</v>
      </c>
      <c r="I115" s="5" t="inlineStr">
        <is>
          <t>log10</t>
        </is>
      </c>
      <c r="J115" s="6" t="n">
        <v>0.76497</v>
      </c>
      <c r="K115" s="5" t="inlineStr">
        <is>
          <t>none</t>
        </is>
      </c>
      <c r="L115" s="14" t="inlineStr">
        <is>
          <t>Polymer Identification Failure</t>
        </is>
      </c>
      <c r="M115" s="5" t="inlineStr">
        <is>
          <t>None</t>
        </is>
      </c>
      <c r="N115" s="6">
        <f>H115-J115*3</f>
        <v/>
      </c>
      <c r="O115" s="6">
        <f>H115-J115*6</f>
        <v/>
      </c>
    </row>
    <row r="116">
      <c r="A116" s="5" t="inlineStr">
        <is>
          <t>2024 - Molar Mass Determination for Small and Large Molecules Using Diffusion-Ordered Spectroscopy - SI</t>
        </is>
      </c>
      <c r="B116" s="5" t="inlineStr">
        <is>
          <t>table7</t>
        </is>
      </c>
      <c r="C116" s="5" t="inlineStr">
        <is>
          <t>expanded discs (ED)</t>
        </is>
      </c>
      <c r="D116" s="5" t="inlineStr">
        <is>
          <t>Invalid chemical</t>
        </is>
      </c>
      <c r="E116" s="5" t="inlineStr">
        <is>
          <t>CDCl 3</t>
        </is>
      </c>
      <c r="F116" s="5" t="inlineStr">
        <is>
          <t>chloroform-d</t>
        </is>
      </c>
      <c r="G116" s="6" t="n">
        <v>298</v>
      </c>
      <c r="H116" s="6" t="n">
        <v>-7.444579046025</v>
      </c>
      <c r="I116" s="5" t="inlineStr">
        <is>
          <t>log10</t>
        </is>
      </c>
      <c r="J116" s="6" t="n">
        <v>0.61563</v>
      </c>
      <c r="K116" s="5" t="inlineStr">
        <is>
          <t>none</t>
        </is>
      </c>
      <c r="L116" s="14" t="inlineStr">
        <is>
          <t>Polymer Identification Failure</t>
        </is>
      </c>
      <c r="M116" s="5" t="inlineStr">
        <is>
          <t>None</t>
        </is>
      </c>
      <c r="N116" s="6">
        <f>H116-J116*3</f>
        <v/>
      </c>
      <c r="O116" s="6">
        <f>H116-J116*6</f>
        <v/>
      </c>
    </row>
    <row r="117">
      <c r="A117" s="5" t="inlineStr">
        <is>
          <t>2024 - Molar Mass Determination for Small and Large Molecules Using Diffusion-Ordered Spectroscopy - SI</t>
        </is>
      </c>
      <c r="B117" s="5" t="inlineStr">
        <is>
          <t>table7</t>
        </is>
      </c>
      <c r="C117" s="5" t="inlineStr">
        <is>
          <t>expanded discs (ED)</t>
        </is>
      </c>
      <c r="D117" s="5" t="inlineStr">
        <is>
          <t>Invalid chemical</t>
        </is>
      </c>
      <c r="E117" s="5" t="inlineStr">
        <is>
          <t>CD 2 Cl 2</t>
        </is>
      </c>
      <c r="F117" s="5" t="inlineStr">
        <is>
          <t>dichloromethane</t>
        </is>
      </c>
      <c r="G117" s="6" t="n">
        <v>298</v>
      </c>
      <c r="H117" s="6" t="n">
        <v>-7.285812792724934</v>
      </c>
      <c r="I117" s="5" t="inlineStr">
        <is>
          <t>log10</t>
        </is>
      </c>
      <c r="J117" s="6" t="n">
        <v>0.63314</v>
      </c>
      <c r="K117" s="5" t="inlineStr">
        <is>
          <t>none</t>
        </is>
      </c>
      <c r="L117" s="14" t="inlineStr">
        <is>
          <t>Polymer Identification Failure</t>
        </is>
      </c>
      <c r="M117" s="5" t="inlineStr">
        <is>
          <t>None</t>
        </is>
      </c>
      <c r="N117" s="6">
        <f>H117-J117*3</f>
        <v/>
      </c>
      <c r="O117" s="6">
        <f>H117-J117*6</f>
        <v/>
      </c>
    </row>
    <row r="118">
      <c r="A118" s="5" t="inlineStr">
        <is>
          <t>2024 - Molar Mass Determination for Small and Large Molecules Using Diffusion-Ordered Spectroscopy - SI</t>
        </is>
      </c>
      <c r="B118" s="5" t="inlineStr">
        <is>
          <t>table7</t>
        </is>
      </c>
      <c r="C118" s="5" t="inlineStr">
        <is>
          <t>expanded discs (ED)</t>
        </is>
      </c>
      <c r="D118" s="5" t="inlineStr">
        <is>
          <t>Invalid chemical</t>
        </is>
      </c>
      <c r="E118" s="5" t="inlineStr">
        <is>
          <t>Toluene- d8</t>
        </is>
      </c>
      <c r="F118" s="5" t="inlineStr">
        <is>
          <t>toluene</t>
        </is>
      </c>
      <c r="G118" s="6" t="n">
        <v>298</v>
      </c>
      <c r="H118" s="6" t="n">
        <v>-7.008578978708307</v>
      </c>
      <c r="I118" s="5" t="inlineStr">
        <is>
          <t>log10</t>
        </is>
      </c>
      <c r="J118" s="6" t="n">
        <v>0.8235</v>
      </c>
      <c r="K118" s="5" t="inlineStr">
        <is>
          <t>none</t>
        </is>
      </c>
      <c r="L118" s="14" t="inlineStr">
        <is>
          <t>Polymer Identification Failure</t>
        </is>
      </c>
      <c r="M118" s="5" t="inlineStr">
        <is>
          <t>None</t>
        </is>
      </c>
      <c r="N118" s="6">
        <f>H118-J118*3</f>
        <v/>
      </c>
      <c r="O118" s="6">
        <f>H118-J118*6</f>
        <v/>
      </c>
    </row>
    <row r="119">
      <c r="A119" s="5" t="inlineStr">
        <is>
          <t>2024 - Molar Mass Determination for Small and Large Molecules Using Diffusion-Ordered Spectroscopy - SI</t>
        </is>
      </c>
      <c r="B119" s="5" t="inlineStr">
        <is>
          <t>table7</t>
        </is>
      </c>
      <c r="C119" s="5" t="inlineStr">
        <is>
          <t>expanded discs (ED)</t>
        </is>
      </c>
      <c r="D119" s="5" t="inlineStr">
        <is>
          <t>Invalid chemical</t>
        </is>
      </c>
      <c r="E119" s="5" t="inlineStr">
        <is>
          <t>DMSO-d6</t>
        </is>
      </c>
      <c r="F119" s="5" t="inlineStr">
        <is>
          <t>dimethyl sulfoxide</t>
        </is>
      </c>
      <c r="G119" s="6" t="n">
        <v>298</v>
      </c>
      <c r="H119" s="6" t="n">
        <v>-7.337194964961833</v>
      </c>
      <c r="I119" s="5" t="inlineStr">
        <is>
          <t>log10</t>
        </is>
      </c>
      <c r="J119" s="6" t="n">
        <v>0.89594</v>
      </c>
      <c r="K119" s="5" t="inlineStr">
        <is>
          <t>none</t>
        </is>
      </c>
      <c r="L119" s="12" t="inlineStr">
        <is>
          <t>Polymer Identification Failure, D Value Out of Range</t>
        </is>
      </c>
      <c r="M119" s="5" t="inlineStr">
        <is>
          <t>None</t>
        </is>
      </c>
      <c r="N119" s="6">
        <f>H119-J119*3</f>
        <v/>
      </c>
      <c r="O119" s="6">
        <f>H119-J119*6</f>
        <v/>
      </c>
    </row>
    <row r="120">
      <c r="A120" s="5" t="inlineStr">
        <is>
          <t>2024 - Molar Mass Determination for Small and Large Molecules Using Diffusion-Ordered Spectroscopy - SI</t>
        </is>
      </c>
      <c r="B120" s="5" t="inlineStr">
        <is>
          <t>table7</t>
        </is>
      </c>
      <c r="C120" s="5" t="inlineStr">
        <is>
          <t>expanded discs (ED)</t>
        </is>
      </c>
      <c r="D120" s="5" t="inlineStr">
        <is>
          <t>Invalid chemical</t>
        </is>
      </c>
      <c r="E120" s="5" t="inlineStr">
        <is>
          <t>C 6 D 12</t>
        </is>
      </c>
      <c r="F120" s="5" t="inlineStr">
        <is>
          <t>cyclohexane-d12</t>
        </is>
      </c>
      <c r="G120" s="6" t="n">
        <v>298</v>
      </c>
      <c r="H120" s="6" t="n">
        <v>-6.539793972542549</v>
      </c>
      <c r="I120" s="5" t="inlineStr">
        <is>
          <t>log10</t>
        </is>
      </c>
      <c r="J120" s="6" t="n">
        <v>0.642</v>
      </c>
      <c r="K120" s="5" t="inlineStr">
        <is>
          <t>none</t>
        </is>
      </c>
      <c r="L120" s="14" t="inlineStr">
        <is>
          <t>Polymer Identification Failure</t>
        </is>
      </c>
      <c r="M120" s="5" t="inlineStr">
        <is>
          <t>None</t>
        </is>
      </c>
      <c r="N120" s="6">
        <f>H120-J120*3</f>
        <v/>
      </c>
      <c r="O120" s="6">
        <f>H120-J120*6</f>
        <v/>
      </c>
    </row>
    <row r="121">
      <c r="A121" s="5" t="inlineStr">
        <is>
          <t>2024 - Molar Mass Determination for Small and Large Molecules Using Diffusion-Ordered Spectroscopy - SI</t>
        </is>
      </c>
      <c r="B121" s="5" t="inlineStr">
        <is>
          <t>table8</t>
        </is>
      </c>
      <c r="C121" s="5" t="inlineStr">
        <is>
          <t>PS</t>
        </is>
      </c>
      <c r="D121" s="5" t="inlineStr">
        <is>
          <t>polystyrene</t>
        </is>
      </c>
      <c r="E121" s="5" t="inlineStr">
        <is>
          <t>THF-d8</t>
        </is>
      </c>
      <c r="F121" s="5" t="inlineStr">
        <is>
          <t>tetrahydrofuran</t>
        </is>
      </c>
      <c r="G121" s="6" t="n"/>
      <c r="H121" s="6" t="n">
        <v>-7.497627511688311</v>
      </c>
      <c r="I121" s="5" t="inlineStr">
        <is>
          <t>log10</t>
        </is>
      </c>
      <c r="J121" s="6" t="n">
        <v>0.5604</v>
      </c>
      <c r="K121" s="5" t="inlineStr">
        <is>
          <t>none</t>
        </is>
      </c>
      <c r="L121" s="5" t="inlineStr">
        <is>
          <t>None</t>
        </is>
      </c>
      <c r="M121" s="13" t="inlineStr">
        <is>
          <t>Temperature Missing/Invalid</t>
        </is>
      </c>
      <c r="N121" s="6">
        <f>H121-J121*3</f>
        <v/>
      </c>
      <c r="O121" s="6">
        <f>H121-J121*6</f>
        <v/>
      </c>
    </row>
    <row r="122">
      <c r="A122" s="5" t="inlineStr">
        <is>
          <t>2024 - Molar Mass Determination for Small and Large Molecules Using Diffusion-Ordered Spectroscopy - SI</t>
        </is>
      </c>
      <c r="B122" s="5" t="inlineStr">
        <is>
          <t>table8</t>
        </is>
      </c>
      <c r="C122" s="5" t="inlineStr">
        <is>
          <t>PS</t>
        </is>
      </c>
      <c r="D122" s="5" t="inlineStr">
        <is>
          <t>polystyrene</t>
        </is>
      </c>
      <c r="E122" s="5" t="inlineStr">
        <is>
          <t>C 6 D 6</t>
        </is>
      </c>
      <c r="F122" s="5" t="inlineStr">
        <is>
          <t>benzene</t>
        </is>
      </c>
      <c r="G122" s="6" t="n"/>
      <c r="H122" s="6" t="n">
        <v>-7.594397544790686</v>
      </c>
      <c r="I122" s="5" t="inlineStr">
        <is>
          <t>log10</t>
        </is>
      </c>
      <c r="J122" s="6" t="n">
        <v>0.56041</v>
      </c>
      <c r="K122" s="5" t="inlineStr">
        <is>
          <t>none</t>
        </is>
      </c>
      <c r="L122" s="5" t="inlineStr">
        <is>
          <t>None</t>
        </is>
      </c>
      <c r="M122" s="13" t="inlineStr">
        <is>
          <t>Temperature Missing/Invalid</t>
        </is>
      </c>
      <c r="N122" s="6">
        <f>H122-J122*3</f>
        <v/>
      </c>
      <c r="O122" s="6">
        <f>H122-J122*6</f>
        <v/>
      </c>
    </row>
    <row r="123">
      <c r="A123" s="5" t="inlineStr">
        <is>
          <t>2024 - Molar Mass Determination for Small and Large Molecules Using Diffusion-Ordered Spectroscopy - SI</t>
        </is>
      </c>
      <c r="B123" s="5" t="inlineStr">
        <is>
          <t>table8</t>
        </is>
      </c>
      <c r="C123" s="5" t="inlineStr">
        <is>
          <t>PS</t>
        </is>
      </c>
      <c r="D123" s="5" t="inlineStr">
        <is>
          <t>polystyrene</t>
        </is>
      </c>
      <c r="E123" s="5" t="inlineStr">
        <is>
          <t>CDCl 3</t>
        </is>
      </c>
      <c r="F123" s="5" t="inlineStr">
        <is>
          <t>chloroform-d</t>
        </is>
      </c>
      <c r="G123" s="6" t="n"/>
      <c r="H123" s="6" t="n">
        <v>-7.523371224817643</v>
      </c>
      <c r="I123" s="5" t="inlineStr">
        <is>
          <t>log10</t>
        </is>
      </c>
      <c r="J123" s="6" t="n">
        <v>0.5623899999999999</v>
      </c>
      <c r="K123" s="5" t="inlineStr">
        <is>
          <t>none</t>
        </is>
      </c>
      <c r="L123" s="5" t="inlineStr">
        <is>
          <t>None</t>
        </is>
      </c>
      <c r="M123" s="13" t="inlineStr">
        <is>
          <t>Temperature Missing/Invalid</t>
        </is>
      </c>
      <c r="N123" s="6">
        <f>H123-J123*3</f>
        <v/>
      </c>
      <c r="O123" s="6">
        <f>H123-J123*6</f>
        <v/>
      </c>
    </row>
    <row r="124">
      <c r="A124" s="5" t="inlineStr">
        <is>
          <t>2024 - Molar Mass Determination for Small and Large Molecules Using Diffusion-Ordered Spectroscopy - SI</t>
        </is>
      </c>
      <c r="B124" s="5" t="inlineStr">
        <is>
          <t>table8</t>
        </is>
      </c>
      <c r="C124" s="5" t="inlineStr">
        <is>
          <t>PS</t>
        </is>
      </c>
      <c r="D124" s="5" t="inlineStr">
        <is>
          <t>polystyrene</t>
        </is>
      </c>
      <c r="E124" s="5" t="inlineStr">
        <is>
          <t>CD 2 Cl 2</t>
        </is>
      </c>
      <c r="F124" s="5" t="inlineStr">
        <is>
          <t>dichloromethane</t>
        </is>
      </c>
      <c r="G124" s="6" t="n"/>
      <c r="H124" s="6" t="n">
        <v>-7.406713932979542</v>
      </c>
      <c r="I124" s="5" t="inlineStr">
        <is>
          <t>log10</t>
        </is>
      </c>
      <c r="J124" s="6" t="n">
        <v>0.56162</v>
      </c>
      <c r="K124" s="5" t="inlineStr">
        <is>
          <t>none</t>
        </is>
      </c>
      <c r="L124" s="5" t="inlineStr">
        <is>
          <t>None</t>
        </is>
      </c>
      <c r="M124" s="13" t="inlineStr">
        <is>
          <t>Temperature Missing/Invalid</t>
        </is>
      </c>
      <c r="N124" s="6">
        <f>H124-J124*3</f>
        <v/>
      </c>
      <c r="O124" s="6">
        <f>H124-J124*6</f>
        <v/>
      </c>
    </row>
    <row r="125">
      <c r="A125" s="5" t="inlineStr">
        <is>
          <t>2024 - Molar Mass Determination for Small and Large Molecules Using Diffusion-Ordered Spectroscopy - SI</t>
        </is>
      </c>
      <c r="B125" s="5" t="inlineStr">
        <is>
          <t>table8</t>
        </is>
      </c>
      <c r="C125" s="5" t="inlineStr">
        <is>
          <t>PS</t>
        </is>
      </c>
      <c r="D125" s="5" t="inlineStr">
        <is>
          <t>polystyrene</t>
        </is>
      </c>
      <c r="E125" s="5" t="inlineStr">
        <is>
          <t>Toluene-d8</t>
        </is>
      </c>
      <c r="F125" s="5" t="inlineStr">
        <is>
          <t>toluene</t>
        </is>
      </c>
      <c r="G125" s="6" t="n"/>
      <c r="H125" s="6" t="n">
        <v>-7.670073559204548</v>
      </c>
      <c r="I125" s="5" t="inlineStr">
        <is>
          <t>log10</t>
        </is>
      </c>
      <c r="J125" s="6" t="n">
        <v>0.53106</v>
      </c>
      <c r="K125" s="5" t="inlineStr">
        <is>
          <t>none</t>
        </is>
      </c>
      <c r="L125" s="5" t="inlineStr">
        <is>
          <t>None</t>
        </is>
      </c>
      <c r="M125" s="13" t="inlineStr">
        <is>
          <t>Temperature Missing/Invalid</t>
        </is>
      </c>
      <c r="N125" s="6">
        <f>H125-J125*3</f>
        <v/>
      </c>
      <c r="O125" s="6">
        <f>H125-J125*6</f>
        <v/>
      </c>
    </row>
    <row r="126">
      <c r="A126" s="5" t="inlineStr">
        <is>
          <t>2024 - Molar Mass Determination for Small and Large Molecules Using Diffusion-Ordered Spectroscopy - SI</t>
        </is>
      </c>
      <c r="B126" s="5" t="inlineStr">
        <is>
          <t>table8</t>
        </is>
      </c>
      <c r="C126" s="5" t="inlineStr">
        <is>
          <t>PS</t>
        </is>
      </c>
      <c r="D126" s="5" t="inlineStr">
        <is>
          <t>polystyrene</t>
        </is>
      </c>
      <c r="E126" s="5" t="inlineStr">
        <is>
          <t>Acetone-d6</t>
        </is>
      </c>
      <c r="F126" s="5" t="inlineStr">
        <is>
          <t>acetone</t>
        </is>
      </c>
      <c r="G126" s="6" t="n"/>
      <c r="H126" s="6" t="n">
        <v>-7.679147780168245</v>
      </c>
      <c r="I126" s="5" t="inlineStr">
        <is>
          <t>log10</t>
        </is>
      </c>
      <c r="J126" s="6" t="n">
        <v>0.45209</v>
      </c>
      <c r="K126" s="5" t="inlineStr">
        <is>
          <t>none</t>
        </is>
      </c>
      <c r="L126" s="5" t="inlineStr">
        <is>
          <t>None</t>
        </is>
      </c>
      <c r="M126" s="13" t="inlineStr">
        <is>
          <t>Temperature Missing/Invalid</t>
        </is>
      </c>
      <c r="N126" s="6">
        <f>H126-J126*3</f>
        <v/>
      </c>
      <c r="O126" s="6">
        <f>H126-J126*6</f>
        <v/>
      </c>
    </row>
    <row r="127">
      <c r="A127" s="5" t="inlineStr">
        <is>
          <t>2024 - Molar Mass Determination for Small and Large Molecules Using Diffusion-Ordered Spectroscopy - SI</t>
        </is>
      </c>
      <c r="B127" s="5" t="inlineStr">
        <is>
          <t>table8</t>
        </is>
      </c>
      <c r="C127" s="5" t="inlineStr">
        <is>
          <t>PMMA</t>
        </is>
      </c>
      <c r="D127" s="5" t="inlineStr">
        <is>
          <t>poly(methyl methacrylate)</t>
        </is>
      </c>
      <c r="E127" s="5" t="inlineStr">
        <is>
          <t>THF-d8</t>
        </is>
      </c>
      <c r="F127" s="5" t="inlineStr">
        <is>
          <t>tetrahydrofuran</t>
        </is>
      </c>
      <c r="G127" s="6" t="n"/>
      <c r="H127" s="6" t="n">
        <v>-7.434234799547848</v>
      </c>
      <c r="I127" s="5" t="inlineStr">
        <is>
          <t>log10</t>
        </is>
      </c>
      <c r="J127" s="6" t="n">
        <v>0.5624</v>
      </c>
      <c r="K127" s="5" t="inlineStr">
        <is>
          <t>none</t>
        </is>
      </c>
      <c r="L127" s="5" t="inlineStr">
        <is>
          <t>None</t>
        </is>
      </c>
      <c r="M127" s="13" t="inlineStr">
        <is>
          <t>Temperature Missing/Invalid</t>
        </is>
      </c>
      <c r="N127" s="6">
        <f>H127-J127*3</f>
        <v/>
      </c>
      <c r="O127" s="6">
        <f>H127-J127*6</f>
        <v/>
      </c>
    </row>
    <row r="128">
      <c r="A128" s="5" t="inlineStr">
        <is>
          <t>2024 - Molar Mass Determination for Small and Large Molecules Using Diffusion-Ordered Spectroscopy - SI</t>
        </is>
      </c>
      <c r="B128" s="5" t="inlineStr">
        <is>
          <t>table8</t>
        </is>
      </c>
      <c r="C128" s="5" t="inlineStr">
        <is>
          <t>PMMA</t>
        </is>
      </c>
      <c r="D128" s="5" t="inlineStr">
        <is>
          <t>poly(methyl methacrylate)</t>
        </is>
      </c>
      <c r="E128" s="5" t="inlineStr">
        <is>
          <t>C 6 D 6</t>
        </is>
      </c>
      <c r="F128" s="5" t="inlineStr">
        <is>
          <t>benzene</t>
        </is>
      </c>
      <c r="G128" s="6" t="n"/>
      <c r="H128" s="6" t="n">
        <v>-7.528356300958614</v>
      </c>
      <c r="I128" s="5" t="inlineStr">
        <is>
          <t>log10</t>
        </is>
      </c>
      <c r="J128" s="6" t="n">
        <v>0.56913</v>
      </c>
      <c r="K128" s="5" t="inlineStr">
        <is>
          <t>none</t>
        </is>
      </c>
      <c r="L128" s="5" t="inlineStr">
        <is>
          <t>None</t>
        </is>
      </c>
      <c r="M128" s="13" t="inlineStr">
        <is>
          <t>Temperature Missing/Invalid</t>
        </is>
      </c>
      <c r="N128" s="6">
        <f>H128-J128*3</f>
        <v/>
      </c>
      <c r="O128" s="6">
        <f>H128-J128*6</f>
        <v/>
      </c>
    </row>
    <row r="129">
      <c r="A129" s="5" t="inlineStr">
        <is>
          <t>2024 - Molar Mass Determination for Small and Large Molecules Using Diffusion-Ordered Spectroscopy - SI</t>
        </is>
      </c>
      <c r="B129" s="5" t="inlineStr">
        <is>
          <t>table8</t>
        </is>
      </c>
      <c r="C129" s="5" t="inlineStr">
        <is>
          <t>PMMA</t>
        </is>
      </c>
      <c r="D129" s="5" t="inlineStr">
        <is>
          <t>poly(methyl methacrylate)</t>
        </is>
      </c>
      <c r="E129" s="5" t="inlineStr">
        <is>
          <t>CDCl 3</t>
        </is>
      </c>
      <c r="F129" s="5" t="inlineStr">
        <is>
          <t>chloroform-d</t>
        </is>
      </c>
      <c r="G129" s="6" t="n"/>
      <c r="H129" s="6" t="n">
        <v>-7.416619835412931</v>
      </c>
      <c r="I129" s="5" t="inlineStr">
        <is>
          <t>log10</t>
        </is>
      </c>
      <c r="J129" s="6" t="n">
        <v>0.58372</v>
      </c>
      <c r="K129" s="5" t="inlineStr">
        <is>
          <t>none</t>
        </is>
      </c>
      <c r="L129" s="5" t="inlineStr">
        <is>
          <t>None</t>
        </is>
      </c>
      <c r="M129" s="13" t="inlineStr">
        <is>
          <t>Temperature Missing/Invalid</t>
        </is>
      </c>
      <c r="N129" s="6">
        <f>H129-J129*3</f>
        <v/>
      </c>
      <c r="O129" s="6">
        <f>H129-J129*6</f>
        <v/>
      </c>
    </row>
    <row r="130">
      <c r="A130" s="5" t="inlineStr">
        <is>
          <t>2024 - Molar Mass Determination for Small and Large Molecules Using Diffusion-Ordered Spectroscopy - SI</t>
        </is>
      </c>
      <c r="B130" s="5" t="inlineStr">
        <is>
          <t>table8</t>
        </is>
      </c>
      <c r="C130" s="5" t="inlineStr">
        <is>
          <t>PMMA</t>
        </is>
      </c>
      <c r="D130" s="5" t="inlineStr">
        <is>
          <t>poly(methyl methacrylate)</t>
        </is>
      </c>
      <c r="E130" s="5" t="inlineStr">
        <is>
          <t>CD 2 Cl 2</t>
        </is>
      </c>
      <c r="F130" s="5" t="inlineStr">
        <is>
          <t>dichloromethane</t>
        </is>
      </c>
      <c r="G130" s="6" t="n"/>
      <c r="H130" s="6" t="n">
        <v>-7.285687008705199</v>
      </c>
      <c r="I130" s="5" t="inlineStr">
        <is>
          <t>log10</t>
        </is>
      </c>
      <c r="J130" s="6" t="n">
        <v>0.58736</v>
      </c>
      <c r="K130" s="5" t="inlineStr">
        <is>
          <t>none</t>
        </is>
      </c>
      <c r="L130" s="5" t="inlineStr">
        <is>
          <t>None</t>
        </is>
      </c>
      <c r="M130" s="13" t="inlineStr">
        <is>
          <t>Temperature Missing/Invalid</t>
        </is>
      </c>
      <c r="N130" s="6">
        <f>H130-J130*3</f>
        <v/>
      </c>
      <c r="O130" s="6">
        <f>H130-J130*6</f>
        <v/>
      </c>
    </row>
    <row r="131">
      <c r="A131" s="5" t="inlineStr">
        <is>
          <t>2024 - Molar Mass Determination for Small and Large Molecules Using Diffusion-Ordered Spectroscopy - SI</t>
        </is>
      </c>
      <c r="B131" s="5" t="inlineStr">
        <is>
          <t>table8</t>
        </is>
      </c>
      <c r="C131" s="5" t="inlineStr">
        <is>
          <t>PMMA</t>
        </is>
      </c>
      <c r="D131" s="5" t="inlineStr">
        <is>
          <t>poly(methyl methacrylate)</t>
        </is>
      </c>
      <c r="E131" s="5" t="inlineStr">
        <is>
          <t>DMSO-d6</t>
        </is>
      </c>
      <c r="F131" s="5" t="inlineStr">
        <is>
          <t>dimethyl sulfoxide</t>
        </is>
      </c>
      <c r="G131" s="6" t="n"/>
      <c r="H131" s="6" t="n">
        <v>-8.505775813083098</v>
      </c>
      <c r="I131" s="5" t="inlineStr">
        <is>
          <t>log10</t>
        </is>
      </c>
      <c r="J131" s="6" t="n">
        <v>0.44424</v>
      </c>
      <c r="K131" s="5" t="inlineStr">
        <is>
          <t>none</t>
        </is>
      </c>
      <c r="L131" s="5" t="inlineStr">
        <is>
          <t>None</t>
        </is>
      </c>
      <c r="M131" s="13" t="inlineStr">
        <is>
          <t>Temperature Missing/Invalid</t>
        </is>
      </c>
      <c r="N131" s="6">
        <f>H131-J131*3</f>
        <v/>
      </c>
      <c r="O131" s="6">
        <f>H131-J131*6</f>
        <v/>
      </c>
    </row>
    <row r="132">
      <c r="A132" s="5" t="inlineStr">
        <is>
          <t>2024 - Molar Mass Determination for Small and Large Molecules Using Diffusion-Ordered Spectroscopy - SI</t>
        </is>
      </c>
      <c r="B132" s="5" t="inlineStr">
        <is>
          <t>table8</t>
        </is>
      </c>
      <c r="C132" s="5" t="inlineStr">
        <is>
          <t>PI</t>
        </is>
      </c>
      <c r="D132" s="5" t="inlineStr">
        <is>
          <t>polyimide</t>
        </is>
      </c>
      <c r="E132" s="5" t="inlineStr">
        <is>
          <t>THF-d8</t>
        </is>
      </c>
      <c r="F132" s="5" t="inlineStr">
        <is>
          <t>tetrahydrofuran</t>
        </is>
      </c>
      <c r="G132" s="6" t="n"/>
      <c r="H132" s="6" t="n">
        <v>-7.330497165895657</v>
      </c>
      <c r="I132" s="5" t="inlineStr">
        <is>
          <t>log10</t>
        </is>
      </c>
      <c r="J132" s="6" t="n">
        <v>0.60811</v>
      </c>
      <c r="K132" s="5" t="inlineStr">
        <is>
          <t>none</t>
        </is>
      </c>
      <c r="L132" s="5" t="inlineStr">
        <is>
          <t>None</t>
        </is>
      </c>
      <c r="M132" s="13" t="inlineStr">
        <is>
          <t>Temperature Missing/Invalid</t>
        </is>
      </c>
      <c r="N132" s="6">
        <f>H132-J132*3</f>
        <v/>
      </c>
      <c r="O132" s="6">
        <f>H132-J132*6</f>
        <v/>
      </c>
    </row>
    <row r="133">
      <c r="A133" s="5" t="inlineStr">
        <is>
          <t>2024 - Molar Mass Determination for Small and Large Molecules Using Diffusion-Ordered Spectroscopy - SI</t>
        </is>
      </c>
      <c r="B133" s="5" t="inlineStr">
        <is>
          <t>table8</t>
        </is>
      </c>
      <c r="C133" s="5" t="inlineStr">
        <is>
          <t>PI</t>
        </is>
      </c>
      <c r="D133" s="5" t="inlineStr">
        <is>
          <t>polyimide</t>
        </is>
      </c>
      <c r="E133" s="5" t="inlineStr">
        <is>
          <t>C 6 D 6</t>
        </is>
      </c>
      <c r="F133" s="5" t="inlineStr">
        <is>
          <t>benzene</t>
        </is>
      </c>
      <c r="G133" s="6" t="n"/>
      <c r="H133" s="6" t="n">
        <v>-7.388584736177106</v>
      </c>
      <c r="I133" s="5" t="inlineStr">
        <is>
          <t>log10</t>
        </is>
      </c>
      <c r="J133" s="6" t="n">
        <v>0.61614</v>
      </c>
      <c r="K133" s="5" t="inlineStr">
        <is>
          <t>none</t>
        </is>
      </c>
      <c r="L133" s="5" t="inlineStr">
        <is>
          <t>None</t>
        </is>
      </c>
      <c r="M133" s="13" t="inlineStr">
        <is>
          <t>Temperature Missing/Invalid</t>
        </is>
      </c>
      <c r="N133" s="6">
        <f>H133-J133*3</f>
        <v/>
      </c>
      <c r="O133" s="6">
        <f>H133-J133*6</f>
        <v/>
      </c>
    </row>
    <row r="134">
      <c r="A134" s="5" t="inlineStr">
        <is>
          <t>2024 - Molar Mass Determination for Small and Large Molecules Using Diffusion-Ordered Spectroscopy - SI</t>
        </is>
      </c>
      <c r="B134" s="5" t="inlineStr">
        <is>
          <t>table8</t>
        </is>
      </c>
      <c r="C134" s="5" t="inlineStr">
        <is>
          <t>PI</t>
        </is>
      </c>
      <c r="D134" s="5" t="inlineStr">
        <is>
          <t>polyimide</t>
        </is>
      </c>
      <c r="E134" s="5" t="inlineStr">
        <is>
          <t>CDCl 3</t>
        </is>
      </c>
      <c r="F134" s="5" t="inlineStr">
        <is>
          <t>chloroform-d</t>
        </is>
      </c>
      <c r="G134" s="6" t="n"/>
      <c r="H134" s="6" t="n">
        <v>-7.298285260295005</v>
      </c>
      <c r="I134" s="5" t="inlineStr">
        <is>
          <t>log10</t>
        </is>
      </c>
      <c r="J134" s="6" t="n">
        <v>0.62721</v>
      </c>
      <c r="K134" s="5" t="inlineStr">
        <is>
          <t>none</t>
        </is>
      </c>
      <c r="L134" s="5" t="inlineStr">
        <is>
          <t>None</t>
        </is>
      </c>
      <c r="M134" s="13" t="inlineStr">
        <is>
          <t>Temperature Missing/Invalid</t>
        </is>
      </c>
      <c r="N134" s="6">
        <f>H134-J134*3</f>
        <v/>
      </c>
      <c r="O134" s="6">
        <f>H134-J134*6</f>
        <v/>
      </c>
    </row>
    <row r="135">
      <c r="A135" s="5" t="inlineStr">
        <is>
          <t>2024 - Molar Mass Determination for Small and Large Molecules Using Diffusion-Ordered Spectroscopy - SI</t>
        </is>
      </c>
      <c r="B135" s="5" t="inlineStr">
        <is>
          <t>table8</t>
        </is>
      </c>
      <c r="C135" s="5" t="inlineStr">
        <is>
          <t>PI</t>
        </is>
      </c>
      <c r="D135" s="5" t="inlineStr">
        <is>
          <t>polyimide</t>
        </is>
      </c>
      <c r="E135" s="5" t="inlineStr">
        <is>
          <t>CD 2 Cl 2</t>
        </is>
      </c>
      <c r="F135" s="5" t="inlineStr">
        <is>
          <t>dichloromethane</t>
        </is>
      </c>
      <c r="G135" s="6" t="n"/>
      <c r="H135" s="6" t="n">
        <v>-7.380124391499957</v>
      </c>
      <c r="I135" s="5" t="inlineStr">
        <is>
          <t>log10</t>
        </is>
      </c>
      <c r="J135" s="6" t="n">
        <v>0.57317</v>
      </c>
      <c r="K135" s="5" t="inlineStr">
        <is>
          <t>none</t>
        </is>
      </c>
      <c r="L135" s="5" t="inlineStr">
        <is>
          <t>None</t>
        </is>
      </c>
      <c r="M135" s="13" t="inlineStr">
        <is>
          <t>Temperature Missing/Invalid</t>
        </is>
      </c>
      <c r="N135" s="6">
        <f>H135-J135*3</f>
        <v/>
      </c>
      <c r="O135" s="6">
        <f>H135-J135*6</f>
        <v/>
      </c>
    </row>
    <row r="136">
      <c r="A136" s="5" t="inlineStr">
        <is>
          <t>2024 - Molar Mass Determination for Small and Large Molecules Using Diffusion-Ordered Spectroscopy - SI</t>
        </is>
      </c>
      <c r="B136" s="5" t="inlineStr">
        <is>
          <t>table8</t>
        </is>
      </c>
      <c r="C136" s="5" t="inlineStr">
        <is>
          <t>P2VP</t>
        </is>
      </c>
      <c r="D136" s="5" t="inlineStr">
        <is>
          <t>poly(2-vinylpyridine)</t>
        </is>
      </c>
      <c r="E136" s="5" t="inlineStr">
        <is>
          <t>THF-d8</t>
        </is>
      </c>
      <c r="F136" s="5" t="inlineStr">
        <is>
          <t>tetrahydrofuran</t>
        </is>
      </c>
      <c r="G136" s="6" t="n"/>
      <c r="H136" s="6" t="n">
        <v>-7.739952475004678</v>
      </c>
      <c r="I136" s="5" t="inlineStr">
        <is>
          <t>log10</t>
        </is>
      </c>
      <c r="J136" s="6" t="n">
        <v>0.5049</v>
      </c>
      <c r="K136" s="5" t="inlineStr">
        <is>
          <t>none</t>
        </is>
      </c>
      <c r="L136" s="5" t="inlineStr">
        <is>
          <t>None</t>
        </is>
      </c>
      <c r="M136" s="13" t="inlineStr">
        <is>
          <t>Temperature Missing/Invalid</t>
        </is>
      </c>
      <c r="N136" s="6">
        <f>H136-J136*3</f>
        <v/>
      </c>
      <c r="O136" s="6">
        <f>H136-J136*6</f>
        <v/>
      </c>
    </row>
    <row r="137">
      <c r="A137" s="5" t="inlineStr">
        <is>
          <t>2024 - Molar Mass Determination for Small and Large Molecules Using Diffusion-Ordered Spectroscopy - SI</t>
        </is>
      </c>
      <c r="B137" s="5" t="inlineStr">
        <is>
          <t>table8</t>
        </is>
      </c>
      <c r="C137" s="5" t="inlineStr">
        <is>
          <t>P2VP</t>
        </is>
      </c>
      <c r="D137" s="5" t="inlineStr">
        <is>
          <t>poly(2-vinylpyridine)</t>
        </is>
      </c>
      <c r="E137" s="5" t="inlineStr">
        <is>
          <t>C 6 D 6</t>
        </is>
      </c>
      <c r="F137" s="5" t="inlineStr">
        <is>
          <t>benzene</t>
        </is>
      </c>
      <c r="G137" s="6" t="n"/>
      <c r="H137" s="6" t="n">
        <v>-7.903646240006705</v>
      </c>
      <c r="I137" s="5" t="inlineStr">
        <is>
          <t>log10</t>
        </is>
      </c>
      <c r="J137" s="6" t="n">
        <v>0.48883</v>
      </c>
      <c r="K137" s="5" t="inlineStr">
        <is>
          <t>none</t>
        </is>
      </c>
      <c r="L137" s="5" t="inlineStr">
        <is>
          <t>None</t>
        </is>
      </c>
      <c r="M137" s="13" t="inlineStr">
        <is>
          <t>Temperature Missing/Invalid</t>
        </is>
      </c>
      <c r="N137" s="6">
        <f>H137-J137*3</f>
        <v/>
      </c>
      <c r="O137" s="6">
        <f>H137-J137*6</f>
        <v/>
      </c>
    </row>
    <row r="138">
      <c r="A138" s="5" t="inlineStr">
        <is>
          <t>2024 - Molar Mass Determination for Small and Large Molecules Using Diffusion-Ordered Spectroscopy - SI</t>
        </is>
      </c>
      <c r="B138" s="5" t="inlineStr">
        <is>
          <t>table8</t>
        </is>
      </c>
      <c r="C138" s="5" t="inlineStr">
        <is>
          <t>P2VP</t>
        </is>
      </c>
      <c r="D138" s="5" t="inlineStr">
        <is>
          <t>poly(2-vinylpyridine)</t>
        </is>
      </c>
      <c r="E138" s="5" t="inlineStr">
        <is>
          <t>CDCl 3</t>
        </is>
      </c>
      <c r="F138" s="5" t="inlineStr">
        <is>
          <t>chloroform-d</t>
        </is>
      </c>
      <c r="G138" s="6" t="n"/>
      <c r="H138" s="6" t="n">
        <v>-7.577590743390301</v>
      </c>
      <c r="I138" s="5" t="inlineStr">
        <is>
          <t>log10</t>
        </is>
      </c>
      <c r="J138" s="6" t="n">
        <v>0.48883</v>
      </c>
      <c r="K138" s="5" t="inlineStr">
        <is>
          <t>none</t>
        </is>
      </c>
      <c r="L138" s="5" t="inlineStr">
        <is>
          <t>None</t>
        </is>
      </c>
      <c r="M138" s="13" t="inlineStr">
        <is>
          <t>Temperature Missing/Invalid</t>
        </is>
      </c>
      <c r="N138" s="6">
        <f>H138-J138*3</f>
        <v/>
      </c>
      <c r="O138" s="6">
        <f>H138-J138*6</f>
        <v/>
      </c>
    </row>
    <row r="139">
      <c r="A139" s="5" t="inlineStr">
        <is>
          <t>2024 - Molar Mass Determination for Small and Large Molecules Using Diffusion-Ordered Spectroscopy - SI</t>
        </is>
      </c>
      <c r="B139" s="5" t="inlineStr">
        <is>
          <t>table8</t>
        </is>
      </c>
      <c r="C139" s="5" t="inlineStr">
        <is>
          <t>P2VP</t>
        </is>
      </c>
      <c r="D139" s="5" t="inlineStr">
        <is>
          <t>poly(2-vinylpyridine)</t>
        </is>
      </c>
      <c r="E139" s="5" t="inlineStr">
        <is>
          <t>CD 2 Cl 2</t>
        </is>
      </c>
      <c r="F139" s="5" t="inlineStr">
        <is>
          <t>dichloromethane</t>
        </is>
      </c>
      <c r="G139" s="6" t="n"/>
      <c r="H139" s="6" t="n">
        <v>-7.947113764743619</v>
      </c>
      <c r="I139" s="5" t="inlineStr">
        <is>
          <t>log10</t>
        </is>
      </c>
      <c r="J139" s="6" t="n">
        <v>0.53396</v>
      </c>
      <c r="K139" s="5" t="inlineStr">
        <is>
          <t>none</t>
        </is>
      </c>
      <c r="L139" s="5" t="inlineStr">
        <is>
          <t>None</t>
        </is>
      </c>
      <c r="M139" s="13" t="inlineStr">
        <is>
          <t>Temperature Missing/Invalid</t>
        </is>
      </c>
      <c r="N139" s="6">
        <f>H139-J139*3</f>
        <v/>
      </c>
      <c r="O139" s="6">
        <f>H139-J139*6</f>
        <v/>
      </c>
    </row>
    <row r="140">
      <c r="A140" s="5" t="inlineStr">
        <is>
          <t>2024 - Molar Mass Determination for Small and Large Molecules Using Diffusion-Ordered Spectroscopy - SI</t>
        </is>
      </c>
      <c r="B140" s="5" t="inlineStr">
        <is>
          <t>table9</t>
        </is>
      </c>
      <c r="C140" s="5" t="inlineStr">
        <is>
          <t>PEO</t>
        </is>
      </c>
      <c r="D140" s="5" t="inlineStr">
        <is>
          <t>poly(ethylene oxide)</t>
        </is>
      </c>
      <c r="E140" s="5" t="inlineStr">
        <is>
          <t>THF-d8</t>
        </is>
      </c>
      <c r="F140" s="5" t="inlineStr">
        <is>
          <t>tetrahydrofuran</t>
        </is>
      </c>
      <c r="G140" s="6" t="n"/>
      <c r="H140" s="6" t="n">
        <v>-7.478914244084677</v>
      </c>
      <c r="I140" s="5" t="inlineStr">
        <is>
          <t>log10</t>
        </is>
      </c>
      <c r="J140" s="6" t="n">
        <v>0.58062</v>
      </c>
      <c r="K140" s="5" t="inlineStr">
        <is>
          <t>none</t>
        </is>
      </c>
      <c r="L140" s="5" t="inlineStr">
        <is>
          <t>None</t>
        </is>
      </c>
      <c r="M140" s="13" t="inlineStr">
        <is>
          <t>Temperature Missing/Invalid</t>
        </is>
      </c>
      <c r="N140" s="6">
        <f>H140-J140*3</f>
        <v/>
      </c>
      <c r="O140" s="6">
        <f>H140-J140*6</f>
        <v/>
      </c>
    </row>
    <row r="141">
      <c r="A141" s="5" t="inlineStr">
        <is>
          <t>2024 - Molar Mass Determination for Small and Large Molecules Using Diffusion-Ordered Spectroscopy - SI</t>
        </is>
      </c>
      <c r="B141" s="5" t="inlineStr">
        <is>
          <t>table9</t>
        </is>
      </c>
      <c r="C141" s="5" t="inlineStr">
        <is>
          <t>PEO</t>
        </is>
      </c>
      <c r="D141" s="5" t="inlineStr">
        <is>
          <t>poly(ethylene oxide)</t>
        </is>
      </c>
      <c r="E141" s="5" t="inlineStr">
        <is>
          <t>CD 3 CN</t>
        </is>
      </c>
      <c r="F141" s="5" t="inlineStr">
        <is>
          <t>acetonitrile-d3</t>
        </is>
      </c>
      <c r="G141" s="6" t="n"/>
      <c r="H141" s="6" t="n">
        <v>-7.281913705216908</v>
      </c>
      <c r="I141" s="5" t="inlineStr">
        <is>
          <t>log10</t>
        </is>
      </c>
      <c r="J141" s="6" t="n">
        <v>0.59613</v>
      </c>
      <c r="K141" s="5" t="inlineStr">
        <is>
          <t>none</t>
        </is>
      </c>
      <c r="L141" s="5" t="inlineStr">
        <is>
          <t>None</t>
        </is>
      </c>
      <c r="M141" s="13" t="inlineStr">
        <is>
          <t>Temperature Missing/Invalid</t>
        </is>
      </c>
      <c r="N141" s="6">
        <f>H141-J141*3</f>
        <v/>
      </c>
      <c r="O141" s="6">
        <f>H141-J141*6</f>
        <v/>
      </c>
    </row>
    <row r="142">
      <c r="A142" s="5" t="inlineStr">
        <is>
          <t>2024 - Molar Mass Determination for Small and Large Molecules Using Diffusion-Ordered Spectroscopy - SI</t>
        </is>
      </c>
      <c r="B142" s="5" t="inlineStr">
        <is>
          <t>table9</t>
        </is>
      </c>
      <c r="C142" s="5" t="inlineStr">
        <is>
          <t>PEO</t>
        </is>
      </c>
      <c r="D142" s="5" t="inlineStr">
        <is>
          <t>poly(ethylene oxide)</t>
        </is>
      </c>
      <c r="E142" s="5" t="inlineStr">
        <is>
          <t>D 2 O</t>
        </is>
      </c>
      <c r="F142" s="5" t="inlineStr">
        <is>
          <t>deuterium oxide</t>
        </is>
      </c>
      <c r="G142" s="6" t="n"/>
      <c r="H142" s="6" t="n">
        <v>-7.877194537152556</v>
      </c>
      <c r="I142" s="5" t="inlineStr">
        <is>
          <t>log10</t>
        </is>
      </c>
      <c r="J142" s="6" t="n">
        <v>0.5723</v>
      </c>
      <c r="K142" s="5" t="inlineStr">
        <is>
          <t>none</t>
        </is>
      </c>
      <c r="L142" s="5" t="inlineStr">
        <is>
          <t>None</t>
        </is>
      </c>
      <c r="M142" s="13" t="inlineStr">
        <is>
          <t>Temperature Missing/Invalid</t>
        </is>
      </c>
      <c r="N142" s="6">
        <f>H142-J142*3</f>
        <v/>
      </c>
      <c r="O142" s="6">
        <f>H142-J142*6</f>
        <v/>
      </c>
    </row>
    <row r="143">
      <c r="A143" s="5" t="inlineStr">
        <is>
          <t>2024 - Molar Mass Determination for Small and Large Molecules Using Diffusion-Ordered Spectroscopy - SI</t>
        </is>
      </c>
      <c r="B143" s="5" t="inlineStr">
        <is>
          <t>table9</t>
        </is>
      </c>
      <c r="C143" s="5" t="inlineStr">
        <is>
          <t>PEO</t>
        </is>
      </c>
      <c r="D143" s="5" t="inlineStr">
        <is>
          <t>poly(ethylene oxide)</t>
        </is>
      </c>
      <c r="E143" s="5" t="inlineStr">
        <is>
          <t>MeOD</t>
        </is>
      </c>
      <c r="F143" s="5" t="inlineStr">
        <is>
          <t>methanol-d4</t>
        </is>
      </c>
      <c r="G143" s="6" t="n"/>
      <c r="H143" s="6" t="n">
        <v>-7.591607379866639</v>
      </c>
      <c r="I143" s="5" t="inlineStr">
        <is>
          <t>log10</t>
        </is>
      </c>
      <c r="J143" s="6" t="n">
        <v>0.57021</v>
      </c>
      <c r="K143" s="5" t="inlineStr">
        <is>
          <t>none</t>
        </is>
      </c>
      <c r="L143" s="5" t="inlineStr">
        <is>
          <t>None</t>
        </is>
      </c>
      <c r="M143" s="13" t="inlineStr">
        <is>
          <t>Temperature Missing/Invalid</t>
        </is>
      </c>
      <c r="N143" s="6">
        <f>H143-J143*3</f>
        <v/>
      </c>
      <c r="O143" s="6">
        <f>H143-J143*6</f>
        <v/>
      </c>
    </row>
    <row r="144">
      <c r="A144" s="5" t="inlineStr">
        <is>
          <t>2024 - Molar Mass Determination for Small and Large Molecules Using Diffusion-Ordered Spectroscopy - SI</t>
        </is>
      </c>
      <c r="B144" s="5" t="inlineStr">
        <is>
          <t>table9</t>
        </is>
      </c>
      <c r="C144" s="5" t="inlineStr">
        <is>
          <t>PEO</t>
        </is>
      </c>
      <c r="D144" s="5" t="inlineStr">
        <is>
          <t>poly(ethylene oxide)</t>
        </is>
      </c>
      <c r="E144" s="5" t="inlineStr">
        <is>
          <t>Acetone-d6</t>
        </is>
      </c>
      <c r="F144" s="5" t="inlineStr">
        <is>
          <t>acetone</t>
        </is>
      </c>
      <c r="G144" s="6" t="n"/>
      <c r="H144" s="6" t="n">
        <v>-7.673500285274963</v>
      </c>
      <c r="I144" s="5" t="inlineStr">
        <is>
          <t>log10</t>
        </is>
      </c>
      <c r="J144" s="6" t="n">
        <v>0.47448</v>
      </c>
      <c r="K144" s="5" t="inlineStr">
        <is>
          <t>none</t>
        </is>
      </c>
      <c r="L144" s="5" t="inlineStr">
        <is>
          <t>None</t>
        </is>
      </c>
      <c r="M144" s="13" t="inlineStr">
        <is>
          <t>Temperature Missing/Invalid</t>
        </is>
      </c>
      <c r="N144" s="6">
        <f>H144-J144*3</f>
        <v/>
      </c>
      <c r="O144" s="6">
        <f>H144-J144*6</f>
        <v/>
      </c>
    </row>
    <row r="145">
      <c r="A145" s="5" t="inlineStr">
        <is>
          <t>2024 - Molar Mass Determination for Small and Large Molecules Using Diffusion-Ordered Spectroscopy - SI</t>
        </is>
      </c>
      <c r="B145" s="5" t="inlineStr">
        <is>
          <t>table10</t>
        </is>
      </c>
      <c r="C145" s="5" t="inlineStr">
        <is>
          <t>PMMA</t>
        </is>
      </c>
      <c r="D145" s="5" t="inlineStr">
        <is>
          <t>poly(methyl methacrylate)</t>
        </is>
      </c>
      <c r="E145" s="5" t="inlineStr">
        <is>
          <t>C6D6</t>
        </is>
      </c>
      <c r="F145" s="5" t="inlineStr">
        <is>
          <t>benzene</t>
        </is>
      </c>
      <c r="G145" s="6" t="n"/>
      <c r="H145" s="6" t="n">
        <v>-7.696566333993796</v>
      </c>
      <c r="I145" s="5" t="inlineStr">
        <is>
          <t>log10</t>
        </is>
      </c>
      <c r="J145" s="6" t="n">
        <v>0.52734</v>
      </c>
      <c r="K145" s="5" t="inlineStr">
        <is>
          <t>none</t>
        </is>
      </c>
      <c r="L145" s="5" t="inlineStr">
        <is>
          <t>None</t>
        </is>
      </c>
      <c r="M145" s="13" t="inlineStr">
        <is>
          <t>Temperature Missing/Invalid</t>
        </is>
      </c>
      <c r="N145" s="6">
        <f>H145-J145*3</f>
        <v/>
      </c>
      <c r="O145" s="6">
        <f>H145-J145*6</f>
        <v/>
      </c>
    </row>
    <row r="146">
      <c r="A146" s="5" t="inlineStr">
        <is>
          <t>2024 - Molar Mass Determination for Small and Large Molecules Using Diffusion-Ordered Spectroscopy - SI</t>
        </is>
      </c>
      <c r="B146" s="5" t="inlineStr">
        <is>
          <t>table10</t>
        </is>
      </c>
      <c r="C146" s="5" t="inlineStr">
        <is>
          <t>PMMA</t>
        </is>
      </c>
      <c r="D146" s="5" t="inlineStr">
        <is>
          <t>poly(methyl methacrylate)</t>
        </is>
      </c>
      <c r="E146" s="5" t="inlineStr">
        <is>
          <t>C6D6</t>
        </is>
      </c>
      <c r="F146" s="5" t="inlineStr">
        <is>
          <t>benzene</t>
        </is>
      </c>
      <c r="G146" s="6" t="n"/>
      <c r="H146" s="6" t="n">
        <v>-7.623331814189471</v>
      </c>
      <c r="I146" s="5" t="inlineStr">
        <is>
          <t>log10</t>
        </is>
      </c>
      <c r="J146" s="6" t="n">
        <v>0.52996</v>
      </c>
      <c r="K146" s="5" t="inlineStr">
        <is>
          <t>none</t>
        </is>
      </c>
      <c r="L146" s="5" t="inlineStr">
        <is>
          <t>None</t>
        </is>
      </c>
      <c r="M146" s="13" t="inlineStr">
        <is>
          <t>Temperature Missing/Invalid</t>
        </is>
      </c>
      <c r="N146" s="6">
        <f>H146-J146*3</f>
        <v/>
      </c>
      <c r="O146" s="6">
        <f>H146-J146*6</f>
        <v/>
      </c>
    </row>
    <row r="147">
      <c r="A147" s="5" t="inlineStr">
        <is>
          <t>2024 - Molar Mass Determination for Small and Large Molecules Using Diffusion-Ordered Spectroscopy - SI</t>
        </is>
      </c>
      <c r="B147" s="5" t="inlineStr">
        <is>
          <t>table10</t>
        </is>
      </c>
      <c r="C147" s="5" t="inlineStr">
        <is>
          <t>PMMA</t>
        </is>
      </c>
      <c r="D147" s="5" t="inlineStr">
        <is>
          <t>poly(methyl methacrylate)</t>
        </is>
      </c>
      <c r="E147" s="5" t="inlineStr">
        <is>
          <t>C6D6</t>
        </is>
      </c>
      <c r="F147" s="5" t="inlineStr">
        <is>
          <t>benzene</t>
        </is>
      </c>
      <c r="G147" s="6" t="n"/>
      <c r="H147" s="6" t="n">
        <v>-7.58838029403677</v>
      </c>
      <c r="I147" s="5" t="inlineStr">
        <is>
          <t>log10</t>
        </is>
      </c>
      <c r="J147" s="6" t="n">
        <v>0.52552</v>
      </c>
      <c r="K147" s="5" t="inlineStr">
        <is>
          <t>none</t>
        </is>
      </c>
      <c r="L147" s="5" t="inlineStr">
        <is>
          <t>None</t>
        </is>
      </c>
      <c r="M147" s="13" t="inlineStr">
        <is>
          <t>Temperature Missing/Invalid</t>
        </is>
      </c>
      <c r="N147" s="6">
        <f>H147-J147*3</f>
        <v/>
      </c>
      <c r="O147" s="6">
        <f>H147-J147*6</f>
        <v/>
      </c>
    </row>
    <row r="148">
      <c r="A148" s="5" t="inlineStr">
        <is>
          <t>2024 - Molar Mass Determination for Small and Large Molecules Using Diffusion-Ordered Spectroscopy - SI</t>
        </is>
      </c>
      <c r="B148" s="5" t="inlineStr">
        <is>
          <t>table10</t>
        </is>
      </c>
      <c r="C148" s="5" t="inlineStr">
        <is>
          <t>PMMA</t>
        </is>
      </c>
      <c r="D148" s="5" t="inlineStr">
        <is>
          <t>poly(methyl methacrylate)</t>
        </is>
      </c>
      <c r="E148" s="5" t="inlineStr">
        <is>
          <t>C6D6</t>
        </is>
      </c>
      <c r="F148" s="5" t="inlineStr">
        <is>
          <t>benzene</t>
        </is>
      </c>
      <c r="G148" s="6" t="n"/>
      <c r="H148" s="6" t="n">
        <v>-7.512607063941288</v>
      </c>
      <c r="I148" s="5" t="inlineStr">
        <is>
          <t>log10</t>
        </is>
      </c>
      <c r="J148" s="6" t="n">
        <v>0.53221</v>
      </c>
      <c r="K148" s="5" t="inlineStr">
        <is>
          <t>none</t>
        </is>
      </c>
      <c r="L148" s="5" t="inlineStr">
        <is>
          <t>None</t>
        </is>
      </c>
      <c r="M148" s="13" t="inlineStr">
        <is>
          <t>Temperature Missing/Invalid</t>
        </is>
      </c>
      <c r="N148" s="6">
        <f>H148-J148*3</f>
        <v/>
      </c>
      <c r="O148" s="6">
        <f>H148-J148*6</f>
        <v/>
      </c>
    </row>
    <row r="149">
      <c r="A149" s="5" t="inlineStr">
        <is>
          <t>2024 - Molar Mass Determination for Small and Large Molecules Using Diffusion-Ordered Spectroscopy - SI</t>
        </is>
      </c>
      <c r="B149" s="5" t="inlineStr">
        <is>
          <t>table10</t>
        </is>
      </c>
      <c r="C149" s="5" t="inlineStr">
        <is>
          <t>PMMA</t>
        </is>
      </c>
      <c r="D149" s="5" t="inlineStr">
        <is>
          <t>poly(methyl methacrylate)</t>
        </is>
      </c>
      <c r="E149" s="5" t="inlineStr">
        <is>
          <t>C6D6</t>
        </is>
      </c>
      <c r="F149" s="5" t="inlineStr">
        <is>
          <t>benzene</t>
        </is>
      </c>
      <c r="G149" s="6" t="n"/>
      <c r="H149" s="6" t="n">
        <v>-7.534364379446671</v>
      </c>
      <c r="I149" s="5" t="inlineStr">
        <is>
          <t>log10</t>
        </is>
      </c>
      <c r="J149" s="6" t="n">
        <v>0.51415</v>
      </c>
      <c r="K149" s="5" t="inlineStr">
        <is>
          <t>none</t>
        </is>
      </c>
      <c r="L149" s="5" t="inlineStr">
        <is>
          <t>None</t>
        </is>
      </c>
      <c r="M149" s="13" t="inlineStr">
        <is>
          <t>Temperature Missing/Invalid</t>
        </is>
      </c>
      <c r="N149" s="6">
        <f>H149-J149*3</f>
        <v/>
      </c>
      <c r="O149" s="6">
        <f>H149-J149*6</f>
        <v/>
      </c>
    </row>
    <row r="150">
      <c r="A150" s="5" t="inlineStr">
        <is>
          <t>2024 - Molar Mass Determination for Small and Large Molecules Using Diffusion-Ordered Spectroscopy - SI</t>
        </is>
      </c>
      <c r="B150" s="5" t="inlineStr">
        <is>
          <t>table10</t>
        </is>
      </c>
      <c r="C150" s="5" t="inlineStr">
        <is>
          <t>PMMA</t>
        </is>
      </c>
      <c r="D150" s="5" t="inlineStr">
        <is>
          <t>poly(methyl methacrylate)</t>
        </is>
      </c>
      <c r="E150" s="5" t="inlineStr">
        <is>
          <t>C6D6</t>
        </is>
      </c>
      <c r="F150" s="5" t="inlineStr">
        <is>
          <t>benzene</t>
        </is>
      </c>
      <c r="G150" s="6" t="n"/>
      <c r="H150" s="6" t="n">
        <v>-7.486103513077076</v>
      </c>
      <c r="I150" s="5" t="inlineStr">
        <is>
          <t>log10</t>
        </is>
      </c>
      <c r="J150" s="6" t="n">
        <v>0.51461</v>
      </c>
      <c r="K150" s="5" t="inlineStr">
        <is>
          <t>none</t>
        </is>
      </c>
      <c r="L150" s="5" t="inlineStr">
        <is>
          <t>None</t>
        </is>
      </c>
      <c r="M150" s="13" t="inlineStr">
        <is>
          <t>Temperature Missing/Invalid</t>
        </is>
      </c>
      <c r="N150" s="6">
        <f>H150-J150*3</f>
        <v/>
      </c>
      <c r="O150" s="6">
        <f>H150-J150*6</f>
        <v/>
      </c>
    </row>
    <row r="151">
      <c r="A151" s="5" t="inlineStr">
        <is>
          <t>2024 - Molar Mass Determination for Small and Large Molecules Using Diffusion-Ordered Spectroscopy - SI</t>
        </is>
      </c>
      <c r="B151" s="5" t="inlineStr">
        <is>
          <t>table10</t>
        </is>
      </c>
      <c r="C151" s="5" t="inlineStr">
        <is>
          <t>PEO</t>
        </is>
      </c>
      <c r="D151" s="5" t="inlineStr">
        <is>
          <t>poly(ethylene oxide)</t>
        </is>
      </c>
      <c r="E151" s="5" t="inlineStr">
        <is>
          <t>D2O</t>
        </is>
      </c>
      <c r="F151" s="5" t="inlineStr">
        <is>
          <t>deuterium oxide</t>
        </is>
      </c>
      <c r="G151" s="6" t="n"/>
      <c r="H151" s="6" t="n">
        <v>-7.877194537152556</v>
      </c>
      <c r="I151" s="5" t="inlineStr">
        <is>
          <t>log10</t>
        </is>
      </c>
      <c r="J151" s="6" t="n">
        <v>0.5723</v>
      </c>
      <c r="K151" s="5" t="inlineStr">
        <is>
          <t>none</t>
        </is>
      </c>
      <c r="L151" s="5" t="inlineStr">
        <is>
          <t>None</t>
        </is>
      </c>
      <c r="M151" s="13" t="inlineStr">
        <is>
          <t>Temperature Missing/Invalid</t>
        </is>
      </c>
      <c r="N151" s="6">
        <f>H151-J151*3</f>
        <v/>
      </c>
      <c r="O151" s="6">
        <f>H151-J151*6</f>
        <v/>
      </c>
    </row>
    <row r="152">
      <c r="A152" s="5" t="inlineStr">
        <is>
          <t>2024 - Molar Mass Determination for Small and Large Molecules Using Diffusion-Ordered Spectroscopy - SI</t>
        </is>
      </c>
      <c r="B152" s="5" t="inlineStr">
        <is>
          <t>table10</t>
        </is>
      </c>
      <c r="C152" s="5" t="inlineStr">
        <is>
          <t>PEO</t>
        </is>
      </c>
      <c r="D152" s="5" t="inlineStr">
        <is>
          <t>poly(ethylene oxide)</t>
        </is>
      </c>
      <c r="E152" s="5" t="inlineStr">
        <is>
          <t>D2O</t>
        </is>
      </c>
      <c r="F152" s="5" t="inlineStr">
        <is>
          <t>deuterium oxide</t>
        </is>
      </c>
      <c r="G152" s="6" t="n"/>
      <c r="H152" s="6" t="n">
        <v>-7.842301520724484</v>
      </c>
      <c r="I152" s="5" t="inlineStr">
        <is>
          <t>log10</t>
        </is>
      </c>
      <c r="J152" s="6" t="n">
        <v>0.55987</v>
      </c>
      <c r="K152" s="5" t="inlineStr">
        <is>
          <t>none</t>
        </is>
      </c>
      <c r="L152" s="5" t="inlineStr">
        <is>
          <t>None</t>
        </is>
      </c>
      <c r="M152" s="13" t="inlineStr">
        <is>
          <t>Temperature Missing/Invalid</t>
        </is>
      </c>
      <c r="N152" s="6">
        <f>H152-J152*3</f>
        <v/>
      </c>
      <c r="O152" s="6">
        <f>H152-J152*6</f>
        <v/>
      </c>
    </row>
    <row r="153">
      <c r="A153" s="5" t="inlineStr">
        <is>
          <t>2024 - Molar Mass Determination for Small and Large Molecules Using Diffusion-Ordered Spectroscopy - SI</t>
        </is>
      </c>
      <c r="B153" s="5" t="inlineStr">
        <is>
          <t>table10</t>
        </is>
      </c>
      <c r="C153" s="5" t="inlineStr">
        <is>
          <t>PEO</t>
        </is>
      </c>
      <c r="D153" s="5" t="inlineStr">
        <is>
          <t>poly(ethylene oxide)</t>
        </is>
      </c>
      <c r="E153" s="5" t="inlineStr">
        <is>
          <t>D2O</t>
        </is>
      </c>
      <c r="F153" s="5" t="inlineStr">
        <is>
          <t>deuterium oxide</t>
        </is>
      </c>
      <c r="G153" s="6" t="n"/>
      <c r="H153" s="6" t="n">
        <v>-7.717785866937665</v>
      </c>
      <c r="I153" s="5" t="inlineStr">
        <is>
          <t>log10</t>
        </is>
      </c>
      <c r="J153" s="6" t="n">
        <v>0.5633899999999999</v>
      </c>
      <c r="K153" s="5" t="inlineStr">
        <is>
          <t>none</t>
        </is>
      </c>
      <c r="L153" s="5" t="inlineStr">
        <is>
          <t>None</t>
        </is>
      </c>
      <c r="M153" s="13" t="inlineStr">
        <is>
          <t>Temperature Missing/Invalid</t>
        </is>
      </c>
      <c r="N153" s="6">
        <f>H153-J153*3</f>
        <v/>
      </c>
      <c r="O153" s="6">
        <f>H153-J153*6</f>
        <v/>
      </c>
    </row>
    <row r="154">
      <c r="A154" s="5" t="inlineStr">
        <is>
          <t>2024 - Molar Mass Determination for Small and Large Molecules Using Diffusion-Ordered Spectroscopy - SI</t>
        </is>
      </c>
      <c r="B154" s="5" t="inlineStr">
        <is>
          <t>table10</t>
        </is>
      </c>
      <c r="C154" s="5" t="inlineStr">
        <is>
          <t>PEO</t>
        </is>
      </c>
      <c r="D154" s="5" t="inlineStr">
        <is>
          <t>poly(ethylene oxide)</t>
        </is>
      </c>
      <c r="E154" s="5" t="inlineStr">
        <is>
          <t>D2O</t>
        </is>
      </c>
      <c r="F154" s="5" t="inlineStr">
        <is>
          <t>deuterium oxide</t>
        </is>
      </c>
      <c r="G154" s="6" t="n"/>
      <c r="H154" s="6" t="n">
        <v>-7.625031813700766</v>
      </c>
      <c r="I154" s="5" t="inlineStr">
        <is>
          <t>log10</t>
        </is>
      </c>
      <c r="J154" s="6" t="n">
        <v>0.55747</v>
      </c>
      <c r="K154" s="5" t="inlineStr">
        <is>
          <t>none</t>
        </is>
      </c>
      <c r="L154" s="5" t="inlineStr">
        <is>
          <t>None</t>
        </is>
      </c>
      <c r="M154" s="13" t="inlineStr">
        <is>
          <t>Temperature Missing/Invalid</t>
        </is>
      </c>
      <c r="N154" s="6">
        <f>H154-J154*3</f>
        <v/>
      </c>
      <c r="O154" s="6">
        <f>H154-J154*6</f>
        <v/>
      </c>
    </row>
    <row r="155">
      <c r="A155" s="5" t="inlineStr">
        <is>
          <t>2024 - Molar Mass Determination for Small and Large Molecules Using Diffusion-Ordered Spectroscopy - SI</t>
        </is>
      </c>
      <c r="B155" s="5" t="inlineStr">
        <is>
          <t>table10</t>
        </is>
      </c>
      <c r="C155" s="5" t="inlineStr">
        <is>
          <t>PEO</t>
        </is>
      </c>
      <c r="D155" s="5" t="inlineStr">
        <is>
          <t>poly(ethylene oxide)</t>
        </is>
      </c>
      <c r="E155" s="5" t="inlineStr">
        <is>
          <t>D2O</t>
        </is>
      </c>
      <c r="F155" s="5" t="inlineStr">
        <is>
          <t>deuterium oxide</t>
        </is>
      </c>
      <c r="G155" s="6" t="n"/>
      <c r="H155" s="6" t="n">
        <v>-7.556330296503602</v>
      </c>
      <c r="I155" s="5" t="inlineStr">
        <is>
          <t>log10</t>
        </is>
      </c>
      <c r="J155" s="6" t="n">
        <v>0.55169</v>
      </c>
      <c r="K155" s="5" t="inlineStr">
        <is>
          <t>none</t>
        </is>
      </c>
      <c r="L155" s="5" t="inlineStr">
        <is>
          <t>None</t>
        </is>
      </c>
      <c r="M155" s="13" t="inlineStr">
        <is>
          <t>Temperature Missing/Invalid</t>
        </is>
      </c>
      <c r="N155" s="6">
        <f>H155-J155*3</f>
        <v/>
      </c>
      <c r="O155" s="6">
        <f>H155-J155*6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Polymer (Original)</t>
        </is>
      </c>
      <c r="D1" s="4" t="inlineStr">
        <is>
          <t>Polymer (Clean)</t>
        </is>
      </c>
      <c r="E1" s="4" t="inlineStr">
        <is>
          <t>Solvent (Original)</t>
        </is>
      </c>
      <c r="F1" s="4" t="inlineStr">
        <is>
          <t>Solvent (Clean)</t>
        </is>
      </c>
      <c r="G1" s="4" t="inlineStr">
        <is>
          <t>Temperature (K)</t>
        </is>
      </c>
      <c r="H1" s="4" t="inlineStr">
        <is>
          <t>K Value (mL/g)</t>
        </is>
      </c>
      <c r="I1" s="4" t="inlineStr">
        <is>
          <t>K Transformation</t>
        </is>
      </c>
      <c r="J1" s="4" t="inlineStr">
        <is>
          <t>a Value</t>
        </is>
      </c>
      <c r="K1" s="4" t="inlineStr">
        <is>
          <t>a Transformation</t>
        </is>
      </c>
      <c r="L1" s="4" t="inlineStr">
        <is>
          <t>Errors</t>
        </is>
      </c>
      <c r="M1" s="4" t="n">
        <v>3</v>
      </c>
      <c r="N1" s="4" t="n">
        <v>6</v>
      </c>
      <c r="P1" s="4" t="inlineStr">
        <is>
          <t>Solvent</t>
        </is>
      </c>
      <c r="Q1" s="4" t="inlineStr">
        <is>
          <t>Polymer</t>
        </is>
      </c>
      <c r="R1" s="4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9" customWidth="1" min="1" max="1"/>
    <col width="12" customWidth="1" min="2" max="2"/>
    <col width="12" customWidth="1" min="3" max="3"/>
    <col width="72" customWidth="1" min="4" max="4"/>
    <col width="33" customWidth="1" min="5" max="5"/>
  </cols>
  <sheetData>
    <row r="1">
      <c r="A1" s="4" t="inlineStr">
        <is>
          <t>Source Paper</t>
        </is>
      </c>
      <c r="B1" s="4" t="inlineStr">
        <is>
          <t>Table</t>
        </is>
      </c>
      <c r="C1" s="4" t="inlineStr">
        <is>
          <t>Type</t>
        </is>
      </c>
      <c r="D1" s="4" t="inlineStr">
        <is>
          <t>Active Errors</t>
        </is>
      </c>
      <c r="E1" s="4" t="inlineStr">
        <is>
          <t>Primary Blame / Severity</t>
        </is>
      </c>
    </row>
    <row r="2">
      <c r="A2" s="12" t="inlineStr">
        <is>
          <t>1994 - Structural Information on Hyaluronic Acid Solutions As Studied by Probe Diffusion Experiments</t>
        </is>
      </c>
      <c r="B2" s="12" t="inlineStr">
        <is>
          <t>table1</t>
        </is>
      </c>
      <c r="C2" s="12" t="inlineStr">
        <is>
          <t>Flory</t>
        </is>
      </c>
      <c r="D2" s="12" t="inlineStr">
        <is>
          <t>solvent_name, temperature_missing, D_out_of_range</t>
        </is>
      </c>
      <c r="E2" s="12" t="inlineStr">
        <is>
          <t>D Value Out of Range</t>
        </is>
      </c>
    </row>
    <row r="3">
      <c r="A3" s="12" t="inlineStr">
        <is>
          <t>1994 - Structural Information on Hyaluronic Acid Solutions As Studied by Probe Diffusion Experiments</t>
        </is>
      </c>
      <c r="B3" s="12" t="inlineStr">
        <is>
          <t>table1</t>
        </is>
      </c>
      <c r="C3" s="12" t="inlineStr">
        <is>
          <t>Flory</t>
        </is>
      </c>
      <c r="D3" s="12" t="inlineStr">
        <is>
          <t>solvent_name, temperature_missing, D_out_of_range</t>
        </is>
      </c>
      <c r="E3" s="12" t="inlineStr">
        <is>
          <t>D Value Out of Range</t>
        </is>
      </c>
    </row>
    <row r="4">
      <c r="A4" s="12" t="inlineStr">
        <is>
          <t>1994 - Structural Information on Hyaluronic Acid Solutions As Studied by Probe Diffusion Experiments</t>
        </is>
      </c>
      <c r="B4" s="12" t="inlineStr">
        <is>
          <t>table1</t>
        </is>
      </c>
      <c r="C4" s="12" t="inlineStr">
        <is>
          <t>Flory</t>
        </is>
      </c>
      <c r="D4" s="12" t="inlineStr">
        <is>
          <t>solvent_name, temperature_missing, D_out_of_range</t>
        </is>
      </c>
      <c r="E4" s="12" t="inlineStr">
        <is>
          <t>D Value Out of Range</t>
        </is>
      </c>
    </row>
    <row r="5">
      <c r="A5" s="12" t="inlineStr">
        <is>
          <t>1994 - Structural Information on Hyaluronic Acid Solutions As Studied by Probe Diffusion Experiments</t>
        </is>
      </c>
      <c r="B5" s="12" t="inlineStr">
        <is>
          <t>table1</t>
        </is>
      </c>
      <c r="C5" s="12" t="inlineStr">
        <is>
          <t>Flory</t>
        </is>
      </c>
      <c r="D5" s="12" t="inlineStr">
        <is>
          <t>solvent_name, temperature_missing, D_out_of_range</t>
        </is>
      </c>
      <c r="E5" s="12" t="inlineStr">
        <is>
          <t>D Value Out of Range</t>
        </is>
      </c>
    </row>
    <row r="6">
      <c r="A6" s="13" t="inlineStr">
        <is>
          <t>1995 - Determination of Molecular Weight Distributions for Polymers by diffusion NMR</t>
        </is>
      </c>
      <c r="B6" s="13" t="inlineStr">
        <is>
          <t>table2</t>
        </is>
      </c>
      <c r="C6" s="13" t="inlineStr">
        <is>
          <t>Flory</t>
        </is>
      </c>
      <c r="D6" s="13" t="inlineStr">
        <is>
          <t>temperature_missing</t>
        </is>
      </c>
      <c r="E6" s="13" t="inlineStr">
        <is>
          <t>Temperature Missing/Invalid</t>
        </is>
      </c>
    </row>
    <row r="7">
      <c r="A7" s="14" t="inlineStr">
        <is>
          <t>2008 - Determination of the Chemical Structure of Poly-β-pinene by NMR Spectroscopy</t>
        </is>
      </c>
      <c r="B7" s="14" t="inlineStr">
        <is>
          <t>table5</t>
        </is>
      </c>
      <c r="C7" s="14" t="inlineStr">
        <is>
          <t>Flory</t>
        </is>
      </c>
      <c r="D7" s="14" t="inlineStr">
        <is>
          <t>solvent_name, temperature_missing</t>
        </is>
      </c>
      <c r="E7" s="14" t="inlineStr">
        <is>
          <t>Solvent Identification Failure</t>
        </is>
      </c>
    </row>
    <row r="8">
      <c r="A8" s="12" t="inlineStr">
        <is>
          <t>2009 - NMR Measure of Translational Diffusion and Fractal Dimension. Application to Molecular Mass Measurement</t>
        </is>
      </c>
      <c r="B8" s="12" t="inlineStr">
        <is>
          <t>table1</t>
        </is>
      </c>
      <c r="C8" s="12" t="inlineStr">
        <is>
          <t>Flory</t>
        </is>
      </c>
      <c r="D8" s="12" t="inlineStr">
        <is>
          <t>solvent_name, c_value_out_of_range, polymer_name, temperature_missing</t>
        </is>
      </c>
      <c r="E8" s="12" t="inlineStr">
        <is>
          <t>c_value Out of Range</t>
        </is>
      </c>
    </row>
    <row r="9">
      <c r="A9" s="12" t="inlineStr">
        <is>
          <t>2009 - NMR Measure of Translational Diffusion and Fractal Dimension. Application to Molecular Mass Measurement</t>
        </is>
      </c>
      <c r="B9" s="12" t="inlineStr">
        <is>
          <t>table1</t>
        </is>
      </c>
      <c r="C9" s="12" t="inlineStr">
        <is>
          <t>Flory</t>
        </is>
      </c>
      <c r="D9" s="12" t="inlineStr">
        <is>
          <t>solvent_name, c_value_out_of_range, polymer_name, temperature_missing</t>
        </is>
      </c>
      <c r="E9" s="12" t="inlineStr">
        <is>
          <t>c_value Out of Range</t>
        </is>
      </c>
    </row>
    <row r="10">
      <c r="A10" s="12" t="inlineStr">
        <is>
          <t>2009 - NMR Measure of Translational Diffusion and Fractal Dimension. Application to Molecular Mass Measurement</t>
        </is>
      </c>
      <c r="B10" s="12" t="inlineStr">
        <is>
          <t>table2</t>
        </is>
      </c>
      <c r="C10" s="12" t="inlineStr">
        <is>
          <t>Flory</t>
        </is>
      </c>
      <c r="D10" s="12" t="inlineStr">
        <is>
          <t>solvent_name, c_value_out_of_range, temperature_missing</t>
        </is>
      </c>
      <c r="E10" s="12" t="inlineStr">
        <is>
          <t>c_value Out of Range</t>
        </is>
      </c>
    </row>
    <row r="11">
      <c r="A11" s="12" t="inlineStr">
        <is>
          <t>2009 - NMR Measure of Translational Diffusion and Fractal Dimension. Application to Molecular Mass Measurement</t>
        </is>
      </c>
      <c r="B11" s="12" t="inlineStr">
        <is>
          <t>table2</t>
        </is>
      </c>
      <c r="C11" s="12" t="inlineStr">
        <is>
          <t>Flory</t>
        </is>
      </c>
      <c r="D11" s="12" t="inlineStr">
        <is>
          <t>solvent_name, c_value_out_of_range, temperature_missing</t>
        </is>
      </c>
      <c r="E11" s="12" t="inlineStr">
        <is>
          <t>c_value Out of Range</t>
        </is>
      </c>
    </row>
    <row r="12">
      <c r="A12" s="12" t="inlineStr">
        <is>
          <t>2009 - NMR Measure of Translational Diffusion and Fractal Dimension. Application to Molecular Mass Measurement</t>
        </is>
      </c>
      <c r="B12" s="12" t="inlineStr">
        <is>
          <t>table2</t>
        </is>
      </c>
      <c r="C12" s="12" t="inlineStr">
        <is>
          <t>Flory</t>
        </is>
      </c>
      <c r="D12" s="12" t="inlineStr">
        <is>
          <t>c_value_out_of_range, temperature_missing</t>
        </is>
      </c>
      <c r="E12" s="12" t="inlineStr">
        <is>
          <t>c_value Out of Range</t>
        </is>
      </c>
    </row>
    <row r="13">
      <c r="A13" s="12" t="inlineStr">
        <is>
          <t>2009 - NMR Measure of Translational Diffusion and Fractal Dimension. Application to Molecular Mass Measurement</t>
        </is>
      </c>
      <c r="B13" s="12" t="inlineStr">
        <is>
          <t>table2</t>
        </is>
      </c>
      <c r="C13" s="12" t="inlineStr">
        <is>
          <t>Flory</t>
        </is>
      </c>
      <c r="D13" s="12" t="inlineStr">
        <is>
          <t>c_value_out_of_range, temperature_missing</t>
        </is>
      </c>
      <c r="E13" s="12" t="inlineStr">
        <is>
          <t>c_value Out of Range</t>
        </is>
      </c>
    </row>
    <row r="14">
      <c r="A14" s="12" t="inlineStr">
        <is>
          <t>2009 - NMR Measure of Translational Diffusion and Fractal Dimension. Application to Molecular Mass Measurement</t>
        </is>
      </c>
      <c r="B14" s="12" t="inlineStr">
        <is>
          <t>table2</t>
        </is>
      </c>
      <c r="C14" s="12" t="inlineStr">
        <is>
          <t>Flory</t>
        </is>
      </c>
      <c r="D14" s="12" t="inlineStr">
        <is>
          <t>c_value_out_of_range, temperature_missing</t>
        </is>
      </c>
      <c r="E14" s="12" t="inlineStr">
        <is>
          <t>c_value Out of Range</t>
        </is>
      </c>
    </row>
    <row r="15">
      <c r="A15" s="12" t="inlineStr">
        <is>
          <t>2009 - NMR Measure of Translational Diffusion and Fractal Dimension. Application to Molecular Mass Measurement</t>
        </is>
      </c>
      <c r="B15" s="12" t="inlineStr">
        <is>
          <t>table2</t>
        </is>
      </c>
      <c r="C15" s="12" t="inlineStr">
        <is>
          <t>Flory</t>
        </is>
      </c>
      <c r="D15" s="12" t="inlineStr">
        <is>
          <t>c_value_out_of_range, temperature_missing</t>
        </is>
      </c>
      <c r="E15" s="12" t="inlineStr">
        <is>
          <t>c_value Out of Range</t>
        </is>
      </c>
    </row>
    <row r="16">
      <c r="A16" s="12" t="inlineStr">
        <is>
          <t>2009 - NMR Measure of Translational Diffusion and Fractal Dimension. Application to Molecular Mass Measurement</t>
        </is>
      </c>
      <c r="B16" s="12" t="inlineStr">
        <is>
          <t>table2</t>
        </is>
      </c>
      <c r="C16" s="12" t="inlineStr">
        <is>
          <t>Flory</t>
        </is>
      </c>
      <c r="D16" s="12" t="inlineStr">
        <is>
          <t>c_value_out_of_range, temperature_missing</t>
        </is>
      </c>
      <c r="E16" s="12" t="inlineStr">
        <is>
          <t>c_value Out of Range</t>
        </is>
      </c>
    </row>
    <row r="17">
      <c r="A17" s="12" t="inlineStr">
        <is>
          <t>2009 - NMR Measure of Translational Diffusion and Fractal Dimension. Application to Molecular Mass Measurement</t>
        </is>
      </c>
      <c r="B17" s="12" t="inlineStr">
        <is>
          <t>table2</t>
        </is>
      </c>
      <c r="C17" s="12" t="inlineStr">
        <is>
          <t>Flory</t>
        </is>
      </c>
      <c r="D17" s="12" t="inlineStr">
        <is>
          <t>solvent_name, c_value_out_of_range, temperature_missing</t>
        </is>
      </c>
      <c r="E17" s="12" t="inlineStr">
        <is>
          <t>c_value Out of Range</t>
        </is>
      </c>
    </row>
    <row r="18">
      <c r="A18" s="12" t="inlineStr">
        <is>
          <t>2009 - NMR Measure of Translational Diffusion and Fractal Dimension. Application to Molecular Mass Measurement</t>
        </is>
      </c>
      <c r="B18" s="12" t="inlineStr">
        <is>
          <t>table2</t>
        </is>
      </c>
      <c r="C18" s="12" t="inlineStr">
        <is>
          <t>Flory</t>
        </is>
      </c>
      <c r="D18" s="12" t="inlineStr">
        <is>
          <t>temperature_missing, D_out_of_range</t>
        </is>
      </c>
      <c r="E18" s="12" t="inlineStr">
        <is>
          <t>D Value Out of Range</t>
        </is>
      </c>
    </row>
    <row r="19">
      <c r="A19" s="12" t="inlineStr">
        <is>
          <t>2009 - NMR Measure of Translational Diffusion and Fractal Dimension. Application to Molecular Mass Measurement</t>
        </is>
      </c>
      <c r="B19" s="12" t="inlineStr">
        <is>
          <t>table2</t>
        </is>
      </c>
      <c r="C19" s="12" t="inlineStr">
        <is>
          <t>Flory</t>
        </is>
      </c>
      <c r="D19" s="12" t="inlineStr">
        <is>
          <t>c_value_out_of_range, temperature_missing</t>
        </is>
      </c>
      <c r="E19" s="12" t="inlineStr">
        <is>
          <t>c_value Out of Range</t>
        </is>
      </c>
    </row>
    <row r="20">
      <c r="A20" s="12" t="inlineStr">
        <is>
          <t>2009 - NMR Measure of Translational Diffusion and Fractal Dimension. Application to Molecular Mass Measurement</t>
        </is>
      </c>
      <c r="B20" s="12" t="inlineStr">
        <is>
          <t>table2</t>
        </is>
      </c>
      <c r="C20" s="12" t="inlineStr">
        <is>
          <t>Flory</t>
        </is>
      </c>
      <c r="D20" s="12" t="inlineStr">
        <is>
          <t>c_value_out_of_range, polymer_name, temperature_missing</t>
        </is>
      </c>
      <c r="E20" s="12" t="inlineStr">
        <is>
          <t>c_value Out of Range</t>
        </is>
      </c>
    </row>
    <row r="21">
      <c r="A21" s="12" t="inlineStr">
        <is>
          <t>2009 - NMR Measure of Translational Diffusion and Fractal Dimension. Application to Molecular Mass Measurement</t>
        </is>
      </c>
      <c r="B21" s="12" t="inlineStr">
        <is>
          <t>table2</t>
        </is>
      </c>
      <c r="C21" s="12" t="inlineStr">
        <is>
          <t>Flory</t>
        </is>
      </c>
      <c r="D21" s="12" t="inlineStr">
        <is>
          <t>c_value_out_of_range, temperature_missing</t>
        </is>
      </c>
      <c r="E21" s="12" t="inlineStr">
        <is>
          <t>c_value Out of Range</t>
        </is>
      </c>
    </row>
    <row r="22">
      <c r="A22" s="12" t="inlineStr">
        <is>
          <t>2009 - NMR Measure of Translational Diffusion and Fractal Dimension. Application to Molecular Mass Measurement</t>
        </is>
      </c>
      <c r="B22" s="12" t="inlineStr">
        <is>
          <t>table2</t>
        </is>
      </c>
      <c r="C22" s="12" t="inlineStr">
        <is>
          <t>Flory</t>
        </is>
      </c>
      <c r="D22" s="12" t="inlineStr">
        <is>
          <t>c_value_out_of_range, temperature_missing</t>
        </is>
      </c>
      <c r="E22" s="12" t="inlineStr">
        <is>
          <t>c_value Out of Range</t>
        </is>
      </c>
    </row>
    <row r="23">
      <c r="A23" s="12" t="inlineStr">
        <is>
          <t>2009 - NMR Measure of Translational Diffusion and Fractal Dimension. Application to Molecular Mass Measurement</t>
        </is>
      </c>
      <c r="B23" s="12" t="inlineStr">
        <is>
          <t>table2</t>
        </is>
      </c>
      <c r="C23" s="12" t="inlineStr">
        <is>
          <t>Flory</t>
        </is>
      </c>
      <c r="D23" s="12" t="inlineStr">
        <is>
          <t>c_value_out_of_range, polymer_name, temperature_missing</t>
        </is>
      </c>
      <c r="E23" s="12" t="inlineStr">
        <is>
          <t>c_value Out of Range</t>
        </is>
      </c>
    </row>
    <row r="24">
      <c r="A24" s="12" t="inlineStr">
        <is>
          <t>2009 - NMR Measure of Translational Diffusion and Fractal Dimension. Application to Molecular Mass Measurement</t>
        </is>
      </c>
      <c r="B24" s="12" t="inlineStr">
        <is>
          <t>table2</t>
        </is>
      </c>
      <c r="C24" s="12" t="inlineStr">
        <is>
          <t>Flory</t>
        </is>
      </c>
      <c r="D24" s="12" t="inlineStr">
        <is>
          <t>solvent_name, c_value_out_of_range, temperature_missing</t>
        </is>
      </c>
      <c r="E24" s="12" t="inlineStr">
        <is>
          <t>c_value Out of Range</t>
        </is>
      </c>
    </row>
    <row r="25">
      <c r="A25" s="12" t="inlineStr">
        <is>
          <t>2009 - NMR Measure of Translational Diffusion and Fractal Dimension. Application to Molecular Mass Measurement</t>
        </is>
      </c>
      <c r="B25" s="12" t="inlineStr">
        <is>
          <t>table2</t>
        </is>
      </c>
      <c r="C25" s="12" t="inlineStr">
        <is>
          <t>Flory</t>
        </is>
      </c>
      <c r="D25" s="12" t="inlineStr">
        <is>
          <t>temperature_missing, D_out_of_range</t>
        </is>
      </c>
      <c r="E25" s="12" t="inlineStr">
        <is>
          <t>D Value Out of Range</t>
        </is>
      </c>
    </row>
    <row r="26">
      <c r="A26" s="12" t="inlineStr">
        <is>
          <t>2009 - NMR Measure of Translational Diffusion and Fractal Dimension. Application to Molecular Mass Measurement</t>
        </is>
      </c>
      <c r="B26" s="12" t="inlineStr">
        <is>
          <t>table2</t>
        </is>
      </c>
      <c r="C26" s="12" t="inlineStr">
        <is>
          <t>Flory</t>
        </is>
      </c>
      <c r="D26" s="12" t="inlineStr">
        <is>
          <t>solvent_name, c_value_out_of_range, temperature_missing</t>
        </is>
      </c>
      <c r="E26" s="12" t="inlineStr">
        <is>
          <t>c_value Out of Range</t>
        </is>
      </c>
    </row>
    <row r="27">
      <c r="A27" s="12" t="inlineStr">
        <is>
          <t>2009 - NMR Measure of Translational Diffusion and Fractal Dimension. Application to Molecular Mass Measurement</t>
        </is>
      </c>
      <c r="B27" s="12" t="inlineStr">
        <is>
          <t>table2</t>
        </is>
      </c>
      <c r="C27" s="12" t="inlineStr">
        <is>
          <t>Flory</t>
        </is>
      </c>
      <c r="D27" s="12" t="inlineStr">
        <is>
          <t>c_value_out_of_range, temperature_missing</t>
        </is>
      </c>
      <c r="E27" s="12" t="inlineStr">
        <is>
          <t>c_value Out of Range</t>
        </is>
      </c>
    </row>
    <row r="28">
      <c r="A28" s="12" t="inlineStr">
        <is>
          <t>2009 - NMR Measure of Translational Diffusion and Fractal Dimension. Application to Molecular Mass Measurement</t>
        </is>
      </c>
      <c r="B28" s="12" t="inlineStr">
        <is>
          <t>table2</t>
        </is>
      </c>
      <c r="C28" s="12" t="inlineStr">
        <is>
          <t>Flory</t>
        </is>
      </c>
      <c r="D28" s="12" t="inlineStr">
        <is>
          <t>c_value_out_of_range, temperature_missing</t>
        </is>
      </c>
      <c r="E28" s="12" t="inlineStr">
        <is>
          <t>c_value Out of Range</t>
        </is>
      </c>
    </row>
    <row r="29">
      <c r="A29" s="12" t="inlineStr">
        <is>
          <t>2009 - NMR Measure of Translational Diffusion and Fractal Dimension. Application to Molecular Mass Measurement</t>
        </is>
      </c>
      <c r="B29" s="12" t="inlineStr">
        <is>
          <t>table2</t>
        </is>
      </c>
      <c r="C29" s="12" t="inlineStr">
        <is>
          <t>Flory</t>
        </is>
      </c>
      <c r="D29" s="12" t="inlineStr">
        <is>
          <t>temperature_missing, D_out_of_range</t>
        </is>
      </c>
      <c r="E29" s="12" t="inlineStr">
        <is>
          <t>D Value Out of Range</t>
        </is>
      </c>
    </row>
    <row r="30">
      <c r="A30" s="12" t="inlineStr">
        <is>
          <t>2009 - NMR Measure of Translational Diffusion and Fractal Dimension. Application to Molecular Mass Measurement</t>
        </is>
      </c>
      <c r="B30" s="12" t="inlineStr">
        <is>
          <t>table2</t>
        </is>
      </c>
      <c r="C30" s="12" t="inlineStr">
        <is>
          <t>Flory</t>
        </is>
      </c>
      <c r="D30" s="12" t="inlineStr">
        <is>
          <t>solvent_name, c_value_out_of_range, polymer_name, temperature_missing</t>
        </is>
      </c>
      <c r="E30" s="12" t="inlineStr">
        <is>
          <t>c_value Out of Range</t>
        </is>
      </c>
    </row>
    <row r="31">
      <c r="A31" s="14" t="inlineStr">
        <is>
          <t>2014 - Determination of the Average Molecular Weight of Hydroxyethyl Starches by Diffusion Ordered NMR Spectroscopy</t>
        </is>
      </c>
      <c r="B31" s="14" t="inlineStr">
        <is>
          <t>table2</t>
        </is>
      </c>
      <c r="C31" s="14" t="inlineStr">
        <is>
          <t>Flory</t>
        </is>
      </c>
      <c r="D31" s="14" t="inlineStr">
        <is>
          <t>solvent_name, temperature_missing</t>
        </is>
      </c>
      <c r="E31" s="14" t="inlineStr">
        <is>
          <t>Solvent Identification Failure</t>
        </is>
      </c>
    </row>
    <row r="32">
      <c r="A32" s="14" t="inlineStr">
        <is>
          <t>2014 - Determination of the Average Molecular Weight of Hydroxyethyl Starches by Diffusion Ordered NMR Spectroscopy</t>
        </is>
      </c>
      <c r="B32" s="14" t="inlineStr">
        <is>
          <t>table2</t>
        </is>
      </c>
      <c r="C32" s="14" t="inlineStr">
        <is>
          <t>Flory</t>
        </is>
      </c>
      <c r="D32" s="14" t="inlineStr">
        <is>
          <t>solvent_name, temperature_missing</t>
        </is>
      </c>
      <c r="E32" s="14" t="inlineStr">
        <is>
          <t>Solvent Identification Failure</t>
        </is>
      </c>
    </row>
    <row r="33">
      <c r="A33" s="14" t="inlineStr">
        <is>
          <t>2014 - Determination of the Average Molecular Weight of Hydroxyethyl Starches by Diffusion Ordered NMR Spectroscopy</t>
        </is>
      </c>
      <c r="B33" s="14" t="inlineStr">
        <is>
          <t>table2</t>
        </is>
      </c>
      <c r="C33" s="14" t="inlineStr">
        <is>
          <t>Flory</t>
        </is>
      </c>
      <c r="D33" s="14" t="inlineStr">
        <is>
          <t>solvent_name, temperature_missing</t>
        </is>
      </c>
      <c r="E33" s="14" t="inlineStr">
        <is>
          <t>Solvent Identification Failure</t>
        </is>
      </c>
    </row>
    <row r="34">
      <c r="A34" s="12" t="inlineStr">
        <is>
          <t>2015 - Determination of the parameters of molecular-weight distribution of hydroxyethyl starches by diffusion-ordered NMR spectroscopy</t>
        </is>
      </c>
      <c r="B34" s="12" t="inlineStr">
        <is>
          <t>table3</t>
        </is>
      </c>
      <c r="C34" s="12" t="inlineStr">
        <is>
          <t>Flory</t>
        </is>
      </c>
      <c r="D34" s="12" t="inlineStr">
        <is>
          <t>solvent_name, temperature_missing, D_out_of_range</t>
        </is>
      </c>
      <c r="E34" s="12" t="inlineStr">
        <is>
          <t>D Value Out of Range</t>
        </is>
      </c>
    </row>
    <row r="35">
      <c r="A35" s="12" t="inlineStr">
        <is>
          <t>2015 - Determination of the parameters of molecular-weight distribution of hydroxyethyl starches by diffusion-ordered NMR spectroscopy</t>
        </is>
      </c>
      <c r="B35" s="12" t="inlineStr">
        <is>
          <t>table3</t>
        </is>
      </c>
      <c r="C35" s="12" t="inlineStr">
        <is>
          <t>Flory</t>
        </is>
      </c>
      <c r="D35" s="12" t="inlineStr">
        <is>
          <t>solvent_name, temperature_missing, D_out_of_range</t>
        </is>
      </c>
      <c r="E35" s="12" t="inlineStr">
        <is>
          <t>D Value Out of Range</t>
        </is>
      </c>
    </row>
    <row r="36">
      <c r="A36" s="12" t="inlineStr">
        <is>
          <t>2015 - Determination of the parameters of molecular-weight distribution of hydroxyethyl starches by diffusion-ordered NMR spectroscopy</t>
        </is>
      </c>
      <c r="B36" s="12" t="inlineStr">
        <is>
          <t>table3</t>
        </is>
      </c>
      <c r="C36" s="12" t="inlineStr">
        <is>
          <t>Flory</t>
        </is>
      </c>
      <c r="D36" s="12" t="inlineStr">
        <is>
          <t>solvent_name, temperature_missing, D_out_of_range</t>
        </is>
      </c>
      <c r="E36" s="12" t="inlineStr">
        <is>
          <t>D Value Out of Range</t>
        </is>
      </c>
    </row>
    <row r="37">
      <c r="A37" s="12" t="inlineStr">
        <is>
          <t>2015 - Determination of the parameters of molecular-weight distribution of hydroxyethyl starches by diffusion-ordered NMR spectroscopy</t>
        </is>
      </c>
      <c r="B37" s="12" t="inlineStr">
        <is>
          <t>table3</t>
        </is>
      </c>
      <c r="C37" s="12" t="inlineStr">
        <is>
          <t>Flory</t>
        </is>
      </c>
      <c r="D37" s="12" t="inlineStr">
        <is>
          <t>solvent_name, temperature_missing, D_out_of_range</t>
        </is>
      </c>
      <c r="E37" s="12" t="inlineStr">
        <is>
          <t>D Value Out of Range</t>
        </is>
      </c>
    </row>
    <row r="38">
      <c r="A38" s="12" t="inlineStr">
        <is>
          <t>2015 - Determination of the parameters of molecular-weight distribution of hydroxyethyl starches by diffusion-ordered NMR spectroscopy</t>
        </is>
      </c>
      <c r="B38" s="12" t="inlineStr">
        <is>
          <t>table3</t>
        </is>
      </c>
      <c r="C38" s="12" t="inlineStr">
        <is>
          <t>Flory</t>
        </is>
      </c>
      <c r="D38" s="12" t="inlineStr">
        <is>
          <t>solvent_name, polymer_name, temperature_missing, D_out_of_range</t>
        </is>
      </c>
      <c r="E38" s="12" t="inlineStr">
        <is>
          <t>D Value Out of Range</t>
        </is>
      </c>
    </row>
    <row r="39">
      <c r="A39" s="12" t="inlineStr">
        <is>
          <t>2015 - Determination of the parameters of molecular-weight distribution of hydroxyethyl starches by diffusion-ordered NMR spectroscopy</t>
        </is>
      </c>
      <c r="B39" s="12" t="inlineStr">
        <is>
          <t>table3</t>
        </is>
      </c>
      <c r="C39" s="12" t="inlineStr">
        <is>
          <t>Flory</t>
        </is>
      </c>
      <c r="D39" s="12" t="inlineStr">
        <is>
          <t>solvent_name, c_value_out_of_range, temperature_missing</t>
        </is>
      </c>
      <c r="E39" s="12" t="inlineStr">
        <is>
          <t>c_value Out of Range</t>
        </is>
      </c>
    </row>
    <row r="40">
      <c r="A40" s="12" t="inlineStr">
        <is>
          <t>2016 - 1 H DOSY NMR Determination of the Molecular Weight and the Solution Properties of Poly-( N -acryloylmorpholine) in Various Solvents</t>
        </is>
      </c>
      <c r="B40" s="12" t="inlineStr">
        <is>
          <t>table2</t>
        </is>
      </c>
      <c r="C40" s="12" t="inlineStr">
        <is>
          <t>Flory</t>
        </is>
      </c>
      <c r="D40" s="12" t="inlineStr">
        <is>
          <t>c_value_out_of_range, temperature_missing</t>
        </is>
      </c>
      <c r="E40" s="12" t="inlineStr">
        <is>
          <t>c_value Out of Range</t>
        </is>
      </c>
    </row>
    <row r="41">
      <c r="A41" s="12" t="inlineStr">
        <is>
          <t>2016 - 1 H DOSY NMR Determination of the Molecular Weight and the Solution Properties of Poly-( N -acryloylmorpholine) in Various Solvents</t>
        </is>
      </c>
      <c r="B41" s="12" t="inlineStr">
        <is>
          <t>table2</t>
        </is>
      </c>
      <c r="C41" s="12" t="inlineStr">
        <is>
          <t>Flory</t>
        </is>
      </c>
      <c r="D41" s="12" t="inlineStr">
        <is>
          <t>c_value_out_of_range, temperature_missing</t>
        </is>
      </c>
      <c r="E41" s="12" t="inlineStr">
        <is>
          <t>c_value Out of Range</t>
        </is>
      </c>
    </row>
    <row r="42">
      <c r="A42" s="12" t="inlineStr">
        <is>
          <t>2016 - 1 H DOSY NMR Determination of the Molecular Weight and the Solution Properties of Poly-( N -acryloylmorpholine) in Various Solvents</t>
        </is>
      </c>
      <c r="B42" s="12" t="inlineStr">
        <is>
          <t>table2</t>
        </is>
      </c>
      <c r="C42" s="12" t="inlineStr">
        <is>
          <t>Flory</t>
        </is>
      </c>
      <c r="D42" s="12" t="inlineStr">
        <is>
          <t>c_value_out_of_range, temperature_missing</t>
        </is>
      </c>
      <c r="E42" s="12" t="inlineStr">
        <is>
          <t>c_value Out of Range</t>
        </is>
      </c>
    </row>
    <row r="43">
      <c r="A43" s="12" t="inlineStr">
        <is>
          <t>2016 - 1 H DOSY NMR Determination of the Molecular Weight and the Solution Properties of Poly-( N -acryloylmorpholine) in Various Solvents</t>
        </is>
      </c>
      <c r="B43" s="12" t="inlineStr">
        <is>
          <t>table2</t>
        </is>
      </c>
      <c r="C43" s="12" t="inlineStr">
        <is>
          <t>Flory</t>
        </is>
      </c>
      <c r="D43" s="12" t="inlineStr">
        <is>
          <t>c_value_out_of_range, temperature_missing</t>
        </is>
      </c>
      <c r="E43" s="12" t="inlineStr">
        <is>
          <t>c_value Out of Range</t>
        </is>
      </c>
    </row>
    <row r="44">
      <c r="A44" s="14" t="inlineStr">
        <is>
          <t>2019 - Quantitative Studies of Block Copolymers and Their Containing Homopolymer Components by Diffusion Ordered Spectroscopy</t>
        </is>
      </c>
      <c r="B44" s="14" t="inlineStr">
        <is>
          <t>table1</t>
        </is>
      </c>
      <c r="C44" s="14" t="inlineStr">
        <is>
          <t>Flory</t>
        </is>
      </c>
      <c r="D44" s="14" t="inlineStr">
        <is>
          <t>solvent_name, temperature_missing</t>
        </is>
      </c>
      <c r="E44" s="14" t="inlineStr">
        <is>
          <t>Solvent Identification Failure</t>
        </is>
      </c>
    </row>
    <row r="45">
      <c r="A45" s="14" t="inlineStr">
        <is>
          <t>2019 - Quantitative Studies of Block Copolymers and Their Containing Homopolymer Components by Diffusion Ordered Spectroscopy</t>
        </is>
      </c>
      <c r="B45" s="14" t="inlineStr">
        <is>
          <t>table1</t>
        </is>
      </c>
      <c r="C45" s="14" t="inlineStr">
        <is>
          <t>Flory</t>
        </is>
      </c>
      <c r="D45" s="14" t="inlineStr">
        <is>
          <t>solvent_name, temperature_missing</t>
        </is>
      </c>
      <c r="E45" s="14" t="inlineStr">
        <is>
          <t>Solvent Identification Failure</t>
        </is>
      </c>
    </row>
    <row r="46">
      <c r="A46" s="14" t="inlineStr">
        <is>
          <t>2019 - Quantitative Studies of Block Copolymers and Their Containing Homopolymer Components by Diffusion Ordered Spectroscopy</t>
        </is>
      </c>
      <c r="B46" s="14" t="inlineStr">
        <is>
          <t>table1</t>
        </is>
      </c>
      <c r="C46" s="14" t="inlineStr">
        <is>
          <t>Flory</t>
        </is>
      </c>
      <c r="D46" s="14" t="inlineStr">
        <is>
          <t>solvent_name, temperature_missing</t>
        </is>
      </c>
      <c r="E46" s="14" t="inlineStr">
        <is>
          <t>Solvent Identification Failure</t>
        </is>
      </c>
    </row>
    <row r="47">
      <c r="A47" s="14" t="inlineStr">
        <is>
          <t>2019 - Quantitative Studies of Block Copolymers and Their Containing Homopolymer Components by Diffusion Ordered Spectroscopy</t>
        </is>
      </c>
      <c r="B47" s="14" t="inlineStr">
        <is>
          <t>table1</t>
        </is>
      </c>
      <c r="C47" s="14" t="inlineStr">
        <is>
          <t>Flory</t>
        </is>
      </c>
      <c r="D47" s="14" t="inlineStr">
        <is>
          <t>solvent_name, temperature_missing</t>
        </is>
      </c>
      <c r="E47" s="14" t="inlineStr">
        <is>
          <t>Solvent Identification Failure</t>
        </is>
      </c>
    </row>
    <row r="48">
      <c r="A48" s="14" t="inlineStr">
        <is>
          <t>2019 - Quantitative Studies of Block Copolymers and Their Containing Homopolymer Components by Diffusion Ordered Spectroscopy</t>
        </is>
      </c>
      <c r="B48" s="14" t="inlineStr">
        <is>
          <t>table1</t>
        </is>
      </c>
      <c r="C48" s="14" t="inlineStr">
        <is>
          <t>Flory</t>
        </is>
      </c>
      <c r="D48" s="14" t="inlineStr">
        <is>
          <t>solvent_name, temperature_missing</t>
        </is>
      </c>
      <c r="E48" s="14" t="inlineStr">
        <is>
          <t>Solvent Identification Failure</t>
        </is>
      </c>
    </row>
    <row r="49">
      <c r="A49" s="12" t="inlineStr">
        <is>
          <t>2019 - Quantitative Studies of Block Copolymers and Their Containing Homopolymer Components by Diffusion Ordered Spectroscopy</t>
        </is>
      </c>
      <c r="B49" s="12" t="inlineStr">
        <is>
          <t>table1</t>
        </is>
      </c>
      <c r="C49" s="12" t="inlineStr">
        <is>
          <t>Flory</t>
        </is>
      </c>
      <c r="D49" s="12" t="inlineStr">
        <is>
          <t>solvent_name, v_value_out_of_range, temperature_missing</t>
        </is>
      </c>
      <c r="E49" s="12" t="inlineStr">
        <is>
          <t>v_value Out of Range</t>
        </is>
      </c>
    </row>
    <row r="50">
      <c r="A50" s="12" t="inlineStr">
        <is>
          <t>2020 - Application of 1H DOSY NMR in Measurement of Polystyrene Molecular Weights</t>
        </is>
      </c>
      <c r="B50" s="12" t="inlineStr">
        <is>
          <t>table2</t>
        </is>
      </c>
      <c r="C50" s="12" t="inlineStr">
        <is>
          <t>Flory</t>
        </is>
      </c>
      <c r="D50" s="12" t="inlineStr">
        <is>
          <t>c_value_out_of_range, temperature_missing</t>
        </is>
      </c>
      <c r="E50" s="12" t="inlineStr">
        <is>
          <t>c_value Out of Range</t>
        </is>
      </c>
    </row>
    <row r="51">
      <c r="A51" s="13" t="inlineStr">
        <is>
          <t>2021 - Solvent‐Independent Molecular Weight Determination of Polymers Based on a Truly  Universal Calibration</t>
        </is>
      </c>
      <c r="B51" s="13" t="inlineStr">
        <is>
          <t>table1</t>
        </is>
      </c>
      <c r="C51" s="13" t="inlineStr">
        <is>
          <t>Flory</t>
        </is>
      </c>
      <c r="D51" s="13" t="inlineStr">
        <is>
          <t>temperature_missing</t>
        </is>
      </c>
      <c r="E51" s="13" t="inlineStr">
        <is>
          <t>Temperature Missing/Invalid</t>
        </is>
      </c>
    </row>
    <row r="52">
      <c r="A52" s="13" t="inlineStr">
        <is>
          <t>2021 - Solvent‐Independent Molecular Weight Determination of Polymers Based on a Truly  Universal Calibration</t>
        </is>
      </c>
      <c r="B52" s="13" t="inlineStr">
        <is>
          <t>table1</t>
        </is>
      </c>
      <c r="C52" s="13" t="inlineStr">
        <is>
          <t>Flory</t>
        </is>
      </c>
      <c r="D52" s="13" t="inlineStr">
        <is>
          <t>temperature_missing</t>
        </is>
      </c>
      <c r="E52" s="13" t="inlineStr">
        <is>
          <t>Temperature Missing/Invalid</t>
        </is>
      </c>
    </row>
    <row r="53">
      <c r="A53" s="13" t="inlineStr">
        <is>
          <t>2021 - Solvent‐Independent Molecular Weight Determination of Polymers Based on a Truly  Universal Calibration</t>
        </is>
      </c>
      <c r="B53" s="13" t="inlineStr">
        <is>
          <t>table1</t>
        </is>
      </c>
      <c r="C53" s="13" t="inlineStr">
        <is>
          <t>Flory</t>
        </is>
      </c>
      <c r="D53" s="13" t="inlineStr">
        <is>
          <t>temperature_missing</t>
        </is>
      </c>
      <c r="E53" s="13" t="inlineStr">
        <is>
          <t>Temperature Missing/Invalid</t>
        </is>
      </c>
    </row>
    <row r="54">
      <c r="A54" s="13" t="inlineStr">
        <is>
          <t>2021 - Solvent‐Independent Molecular Weight Determination of Polymers Based on a Truly  Universal Calibration</t>
        </is>
      </c>
      <c r="B54" s="13" t="inlineStr">
        <is>
          <t>table1</t>
        </is>
      </c>
      <c r="C54" s="13" t="inlineStr">
        <is>
          <t>Flory</t>
        </is>
      </c>
      <c r="D54" s="13" t="inlineStr">
        <is>
          <t>temperature_missing</t>
        </is>
      </c>
      <c r="E54" s="13" t="inlineStr">
        <is>
          <t>Temperature Missing/Invalid</t>
        </is>
      </c>
    </row>
    <row r="55">
      <c r="A55" s="13" t="inlineStr">
        <is>
          <t>2021 - Solvent‐Independent Molecular Weight Determination of Polymers Based on a Truly  Universal Calibration</t>
        </is>
      </c>
      <c r="B55" s="13" t="inlineStr">
        <is>
          <t>table1</t>
        </is>
      </c>
      <c r="C55" s="13" t="inlineStr">
        <is>
          <t>Flory</t>
        </is>
      </c>
      <c r="D55" s="13" t="inlineStr">
        <is>
          <t>temperature_missing</t>
        </is>
      </c>
      <c r="E55" s="13" t="inlineStr">
        <is>
          <t>Temperature Missing/Invalid</t>
        </is>
      </c>
    </row>
    <row r="56">
      <c r="A56" s="13" t="inlineStr">
        <is>
          <t>2021 - Solvent‐Independent Molecular Weight Determination of Polymers Based on a Truly  Universal Calibration</t>
        </is>
      </c>
      <c r="B56" s="13" t="inlineStr">
        <is>
          <t>table1</t>
        </is>
      </c>
      <c r="C56" s="13" t="inlineStr">
        <is>
          <t>Flory</t>
        </is>
      </c>
      <c r="D56" s="13" t="inlineStr">
        <is>
          <t>temperature_missing</t>
        </is>
      </c>
      <c r="E56" s="13" t="inlineStr">
        <is>
          <t>Temperature Missing/Invalid</t>
        </is>
      </c>
    </row>
    <row r="57">
      <c r="A57" s="13" t="inlineStr">
        <is>
          <t>2021 - Solvent‐Independent Molecular Weight Determination of Polymers Based on a Truly  Universal Calibration</t>
        </is>
      </c>
      <c r="B57" s="13" t="inlineStr">
        <is>
          <t>table2</t>
        </is>
      </c>
      <c r="C57" s="13" t="inlineStr">
        <is>
          <t>Flory</t>
        </is>
      </c>
      <c r="D57" s="13" t="inlineStr">
        <is>
          <t>temperature_missing</t>
        </is>
      </c>
      <c r="E57" s="13" t="inlineStr">
        <is>
          <t>Temperature Missing/Invalid</t>
        </is>
      </c>
    </row>
    <row r="58">
      <c r="A58" s="13" t="inlineStr">
        <is>
          <t>2021 - Solvent‐Independent Molecular Weight Determination of Polymers Based on a Truly  Universal Calibration</t>
        </is>
      </c>
      <c r="B58" s="13" t="inlineStr">
        <is>
          <t>table2</t>
        </is>
      </c>
      <c r="C58" s="13" t="inlineStr">
        <is>
          <t>Flory</t>
        </is>
      </c>
      <c r="D58" s="13" t="inlineStr">
        <is>
          <t>temperature_missing</t>
        </is>
      </c>
      <c r="E58" s="13" t="inlineStr">
        <is>
          <t>Temperature Missing/Invalid</t>
        </is>
      </c>
    </row>
    <row r="59">
      <c r="A59" s="13" t="inlineStr">
        <is>
          <t>2021 - Solvent‐Independent Molecular Weight Determination of Polymers Based on a Truly  Universal Calibration</t>
        </is>
      </c>
      <c r="B59" s="13" t="inlineStr">
        <is>
          <t>table2</t>
        </is>
      </c>
      <c r="C59" s="13" t="inlineStr">
        <is>
          <t>Flory</t>
        </is>
      </c>
      <c r="D59" s="13" t="inlineStr">
        <is>
          <t>temperature_missing</t>
        </is>
      </c>
      <c r="E59" s="13" t="inlineStr">
        <is>
          <t>Temperature Missing/Invalid</t>
        </is>
      </c>
    </row>
    <row r="60">
      <c r="A60" s="13" t="inlineStr">
        <is>
          <t>2021 - Solvent‐Independent Molecular Weight Determination of Polymers Based on a Truly  Universal Calibration</t>
        </is>
      </c>
      <c r="B60" s="13" t="inlineStr">
        <is>
          <t>table2</t>
        </is>
      </c>
      <c r="C60" s="13" t="inlineStr">
        <is>
          <t>Flory</t>
        </is>
      </c>
      <c r="D60" s="13" t="inlineStr">
        <is>
          <t>temperature_missing</t>
        </is>
      </c>
      <c r="E60" s="13" t="inlineStr">
        <is>
          <t>Temperature Missing/Invalid</t>
        </is>
      </c>
    </row>
    <row r="61">
      <c r="A61" s="13" t="inlineStr">
        <is>
          <t>2021 - Solvent‐Independent Molecular Weight Determination of Polymers Based on a Truly  Universal Calibration</t>
        </is>
      </c>
      <c r="B61" s="13" t="inlineStr">
        <is>
          <t>table2</t>
        </is>
      </c>
      <c r="C61" s="13" t="inlineStr">
        <is>
          <t>Flory</t>
        </is>
      </c>
      <c r="D61" s="13" t="inlineStr">
        <is>
          <t>temperature_missing</t>
        </is>
      </c>
      <c r="E61" s="13" t="inlineStr">
        <is>
          <t>Temperature Missing/Invalid</t>
        </is>
      </c>
    </row>
    <row r="62">
      <c r="A62" s="13" t="inlineStr">
        <is>
          <t>2021 - Solvent‐Independent Molecular Weight Determination of Polymers Based on a Truly  Universal Calibration</t>
        </is>
      </c>
      <c r="B62" s="13" t="inlineStr">
        <is>
          <t>table3</t>
        </is>
      </c>
      <c r="C62" s="13" t="inlineStr">
        <is>
          <t>Flory</t>
        </is>
      </c>
      <c r="D62" s="13" t="inlineStr">
        <is>
          <t>temperature_missing</t>
        </is>
      </c>
      <c r="E62" s="13" t="inlineStr">
        <is>
          <t>Temperature Missing/Invalid</t>
        </is>
      </c>
    </row>
    <row r="63">
      <c r="A63" s="13" t="inlineStr">
        <is>
          <t>2021 - Solvent‐Independent Molecular Weight Determination of Polymers Based on a Truly  Universal Calibration</t>
        </is>
      </c>
      <c r="B63" s="13" t="inlineStr">
        <is>
          <t>table3</t>
        </is>
      </c>
      <c r="C63" s="13" t="inlineStr">
        <is>
          <t>Flory</t>
        </is>
      </c>
      <c r="D63" s="13" t="inlineStr">
        <is>
          <t>temperature_missing</t>
        </is>
      </c>
      <c r="E63" s="13" t="inlineStr">
        <is>
          <t>Temperature Missing/Invalid</t>
        </is>
      </c>
    </row>
    <row r="64">
      <c r="A64" s="13" t="inlineStr">
        <is>
          <t>2021 - Solvent‐Independent Molecular Weight Determination of Polymers Based on a Truly  Universal Calibration</t>
        </is>
      </c>
      <c r="B64" s="13" t="inlineStr">
        <is>
          <t>table3</t>
        </is>
      </c>
      <c r="C64" s="13" t="inlineStr">
        <is>
          <t>Flory</t>
        </is>
      </c>
      <c r="D64" s="13" t="inlineStr">
        <is>
          <t>temperature_missing</t>
        </is>
      </c>
      <c r="E64" s="13" t="inlineStr">
        <is>
          <t>Temperature Missing/Invalid</t>
        </is>
      </c>
    </row>
    <row r="65">
      <c r="A65" s="13" t="inlineStr">
        <is>
          <t>2021 - Solvent‐Independent Molecular Weight Determination of Polymers Based on a Truly  Universal Calibration</t>
        </is>
      </c>
      <c r="B65" s="13" t="inlineStr">
        <is>
          <t>table3</t>
        </is>
      </c>
      <c r="C65" s="13" t="inlineStr">
        <is>
          <t>Flory</t>
        </is>
      </c>
      <c r="D65" s="13" t="inlineStr">
        <is>
          <t>temperature_missing</t>
        </is>
      </c>
      <c r="E65" s="13" t="inlineStr">
        <is>
          <t>Temperature Missing/Invalid</t>
        </is>
      </c>
    </row>
    <row r="66">
      <c r="A66" s="13" t="inlineStr">
        <is>
          <t>2021 - Solvent‐Independent Molecular Weight Determination of Polymers Based on a Truly  Universal Calibration</t>
        </is>
      </c>
      <c r="B66" s="13" t="inlineStr">
        <is>
          <t>table3</t>
        </is>
      </c>
      <c r="C66" s="13" t="inlineStr">
        <is>
          <t>Flory</t>
        </is>
      </c>
      <c r="D66" s="13" t="inlineStr">
        <is>
          <t>temperature_missing</t>
        </is>
      </c>
      <c r="E66" s="13" t="inlineStr">
        <is>
          <t>Temperature Missing/Invalid</t>
        </is>
      </c>
    </row>
    <row r="67">
      <c r="A67" s="13" t="inlineStr">
        <is>
          <t>2021 - Solvent‐Independent Molecular Weight Determination of Polymers Based on a Truly  Universal Calibration</t>
        </is>
      </c>
      <c r="B67" s="13" t="inlineStr">
        <is>
          <t>table3</t>
        </is>
      </c>
      <c r="C67" s="13" t="inlineStr">
        <is>
          <t>Flory</t>
        </is>
      </c>
      <c r="D67" s="13" t="inlineStr">
        <is>
          <t>temperature_missing</t>
        </is>
      </c>
      <c r="E67" s="13" t="inlineStr">
        <is>
          <t>Temperature Missing/Invalid</t>
        </is>
      </c>
    </row>
    <row r="68">
      <c r="A68" s="13" t="inlineStr">
        <is>
          <t>2021 - Solvent‐Independent Molecular Weight Determination of Polymers Based on a Truly Universal Calibration SI</t>
        </is>
      </c>
      <c r="B68" s="13" t="inlineStr">
        <is>
          <t>table6</t>
        </is>
      </c>
      <c r="C68" s="13" t="inlineStr">
        <is>
          <t>Flory</t>
        </is>
      </c>
      <c r="D68" s="13" t="inlineStr">
        <is>
          <t>temperature_missing</t>
        </is>
      </c>
      <c r="E68" s="13" t="inlineStr">
        <is>
          <t>Temperature Missing/Invalid</t>
        </is>
      </c>
    </row>
    <row r="69">
      <c r="A69" s="14" t="inlineStr">
        <is>
          <t>2021 - Solvent‐Independent Molecular Weight Determination of Polymers Based on a Truly Universal Calibration SI</t>
        </is>
      </c>
      <c r="B69" s="14" t="inlineStr">
        <is>
          <t>table7</t>
        </is>
      </c>
      <c r="C69" s="14" t="inlineStr">
        <is>
          <t>Flory</t>
        </is>
      </c>
      <c r="D69" s="14" t="inlineStr">
        <is>
          <t>solvent_name, temperature_missing</t>
        </is>
      </c>
      <c r="E69" s="14" t="inlineStr">
        <is>
          <t>Solvent Identification Failure</t>
        </is>
      </c>
    </row>
    <row r="70">
      <c r="A70" s="14" t="inlineStr">
        <is>
          <t>2022 - Molar Mass Distribution and Chemical Composition Distribution of PS‑b‑PMMA Block Copolymers Determined by Diffusion Ordered Spectroscopy</t>
        </is>
      </c>
      <c r="B70" s="14" t="inlineStr">
        <is>
          <t>table2</t>
        </is>
      </c>
      <c r="C70" s="14" t="inlineStr">
        <is>
          <t>Flory</t>
        </is>
      </c>
      <c r="D70" s="14" t="inlineStr">
        <is>
          <t>solvent_name, temperature_missing</t>
        </is>
      </c>
      <c r="E70" s="14" t="inlineStr">
        <is>
          <t>Solvent Identification Failure</t>
        </is>
      </c>
    </row>
    <row r="71">
      <c r="A71" s="14" t="inlineStr">
        <is>
          <t>2022 - Molar Mass Distribution and Chemical Composition Distribution of PS‑b‑PMMA Block Copolymers Determined by Diffusion Ordered Spectroscopy</t>
        </is>
      </c>
      <c r="B71" s="14" t="inlineStr">
        <is>
          <t>table2</t>
        </is>
      </c>
      <c r="C71" s="14" t="inlineStr">
        <is>
          <t>Flory</t>
        </is>
      </c>
      <c r="D71" s="14" t="inlineStr">
        <is>
          <t>solvent_name, temperature_missing</t>
        </is>
      </c>
      <c r="E71" s="14" t="inlineStr">
        <is>
          <t>Solvent Identification Failure</t>
        </is>
      </c>
    </row>
    <row r="72">
      <c r="A72" s="13" t="inlineStr">
        <is>
          <t>2023 - A fast and efficient way of obtaining the average molecular weight of block copolymers via DOSY</t>
        </is>
      </c>
      <c r="B72" s="13" t="inlineStr">
        <is>
          <t>table1</t>
        </is>
      </c>
      <c r="C72" s="13" t="inlineStr">
        <is>
          <t>Flory</t>
        </is>
      </c>
      <c r="D72" s="13" t="inlineStr">
        <is>
          <t>temperature_missing</t>
        </is>
      </c>
      <c r="E72" s="13" t="inlineStr">
        <is>
          <t>Temperature Missing/Invalid</t>
        </is>
      </c>
    </row>
    <row r="73">
      <c r="A73" s="13" t="inlineStr">
        <is>
          <t>2023 - A fast and efficient way of obtaining the average molecular weight of block copolymers via DOSY</t>
        </is>
      </c>
      <c r="B73" s="13" t="inlineStr">
        <is>
          <t>table1</t>
        </is>
      </c>
      <c r="C73" s="13" t="inlineStr">
        <is>
          <t>Flory</t>
        </is>
      </c>
      <c r="D73" s="13" t="inlineStr">
        <is>
          <t>temperature_missing</t>
        </is>
      </c>
      <c r="E73" s="13" t="inlineStr">
        <is>
          <t>Temperature Missing/Invalid</t>
        </is>
      </c>
    </row>
    <row r="74">
      <c r="A74" s="13" t="inlineStr">
        <is>
          <t>2023 - A fast and efficient way of obtaining the average molecular weight of block copolymers via DOSY</t>
        </is>
      </c>
      <c r="B74" s="13" t="inlineStr">
        <is>
          <t>table1</t>
        </is>
      </c>
      <c r="C74" s="13" t="inlineStr">
        <is>
          <t>Flory</t>
        </is>
      </c>
      <c r="D74" s="13" t="inlineStr">
        <is>
          <t>temperature_missing</t>
        </is>
      </c>
      <c r="E74" s="13" t="inlineStr">
        <is>
          <t>Temperature Missing/Invalid</t>
        </is>
      </c>
    </row>
    <row r="75">
      <c r="A75" s="13" t="inlineStr">
        <is>
          <t>2023 - A fast and efficient way of obtaining the average molecular weight of block copolymers via DOSY</t>
        </is>
      </c>
      <c r="B75" s="13" t="inlineStr">
        <is>
          <t>table1</t>
        </is>
      </c>
      <c r="C75" s="13" t="inlineStr">
        <is>
          <t>Flory</t>
        </is>
      </c>
      <c r="D75" s="13" t="inlineStr">
        <is>
          <t>temperature_missing</t>
        </is>
      </c>
      <c r="E75" s="13" t="inlineStr">
        <is>
          <t>Temperature Missing/Invalid</t>
        </is>
      </c>
    </row>
    <row r="76">
      <c r="A76" s="14" t="inlineStr">
        <is>
          <t>2023 - A fast and efficient way of obtaining the average molecular weight of block copolymers via DOSY</t>
        </is>
      </c>
      <c r="B76" s="14" t="inlineStr">
        <is>
          <t>table1</t>
        </is>
      </c>
      <c r="C76" s="14" t="inlineStr">
        <is>
          <t>Flory</t>
        </is>
      </c>
      <c r="D76" s="14" t="inlineStr">
        <is>
          <t>solvent_name, temperature_missing</t>
        </is>
      </c>
      <c r="E76" s="14" t="inlineStr">
        <is>
          <t>Solvent Identification Failure</t>
        </is>
      </c>
    </row>
    <row r="77">
      <c r="A77" s="13" t="inlineStr">
        <is>
          <t>2023 - A fast and efficient way of obtaining the average molecular weight of block copolymers via DOSY</t>
        </is>
      </c>
      <c r="B77" s="13" t="inlineStr">
        <is>
          <t>table3</t>
        </is>
      </c>
      <c r="C77" s="13" t="inlineStr">
        <is>
          <t>Flory</t>
        </is>
      </c>
      <c r="D77" s="13" t="inlineStr">
        <is>
          <t>temperature_missing</t>
        </is>
      </c>
      <c r="E77" s="13" t="inlineStr">
        <is>
          <t>Temperature Missing/Invalid</t>
        </is>
      </c>
    </row>
    <row r="78">
      <c r="A78" s="13" t="inlineStr">
        <is>
          <t>2023 - A fast and efficient way of obtaining the average molecular weight of block copolymers via DOSY</t>
        </is>
      </c>
      <c r="B78" s="13" t="inlineStr">
        <is>
          <t>table3</t>
        </is>
      </c>
      <c r="C78" s="13" t="inlineStr">
        <is>
          <t>Flory</t>
        </is>
      </c>
      <c r="D78" s="13" t="inlineStr">
        <is>
          <t>temperature_missing</t>
        </is>
      </c>
      <c r="E78" s="13" t="inlineStr">
        <is>
          <t>Temperature Missing/Invalid</t>
        </is>
      </c>
    </row>
    <row r="79">
      <c r="A79" s="14" t="inlineStr">
        <is>
          <t>2023 - A fast and efficient way of obtaining the average molecular weight of block copolymers via DOSY</t>
        </is>
      </c>
      <c r="B79" s="14" t="inlineStr">
        <is>
          <t>table3</t>
        </is>
      </c>
      <c r="C79" s="14" t="inlineStr">
        <is>
          <t>Flory</t>
        </is>
      </c>
      <c r="D79" s="14" t="inlineStr">
        <is>
          <t>polymer_name, temperature_missing</t>
        </is>
      </c>
      <c r="E79" s="14" t="inlineStr">
        <is>
          <t>Polymer Identification Failure</t>
        </is>
      </c>
    </row>
    <row r="80">
      <c r="A80" s="14" t="inlineStr">
        <is>
          <t>2023 - A fast and efficient way of obtaining the average molecular weight of block copolymers via DOSY</t>
        </is>
      </c>
      <c r="B80" s="14" t="inlineStr">
        <is>
          <t>table3</t>
        </is>
      </c>
      <c r="C80" s="14" t="inlineStr">
        <is>
          <t>Flory</t>
        </is>
      </c>
      <c r="D80" s="14" t="inlineStr">
        <is>
          <t>solvent_name, temperature_missing</t>
        </is>
      </c>
      <c r="E80" s="14" t="inlineStr">
        <is>
          <t>Solvent Identification Failure</t>
        </is>
      </c>
    </row>
    <row r="81">
      <c r="A81" s="13" t="inlineStr">
        <is>
          <t>2023 - A fast and efficient way of obtaining the average molecular weight of block copolymers via DOSY</t>
        </is>
      </c>
      <c r="B81" s="13" t="inlineStr">
        <is>
          <t>table6</t>
        </is>
      </c>
      <c r="C81" s="13" t="inlineStr">
        <is>
          <t>Flory</t>
        </is>
      </c>
      <c r="D81" s="13" t="inlineStr">
        <is>
          <t>temperature_missing</t>
        </is>
      </c>
      <c r="E81" s="13" t="inlineStr">
        <is>
          <t>Temperature Missing/Invalid</t>
        </is>
      </c>
    </row>
    <row r="82">
      <c r="A82" s="13" t="inlineStr">
        <is>
          <t>2023 - A fast and efficient way of obtaining the average molecular weight of block copolymers via DOSY</t>
        </is>
      </c>
      <c r="B82" s="13" t="inlineStr">
        <is>
          <t>table6</t>
        </is>
      </c>
      <c r="C82" s="13" t="inlineStr">
        <is>
          <t>Flory</t>
        </is>
      </c>
      <c r="D82" s="13" t="inlineStr">
        <is>
          <t>temperature_missing</t>
        </is>
      </c>
      <c r="E82" s="13" t="inlineStr">
        <is>
          <t>Temperature Missing/Invalid</t>
        </is>
      </c>
    </row>
    <row r="83">
      <c r="A83" s="14" t="inlineStr">
        <is>
          <t>2023 - A fast and efficient way of obtaining the average molecular weight of block copolymers via DOSY</t>
        </is>
      </c>
      <c r="B83" s="14" t="inlineStr">
        <is>
          <t>table6</t>
        </is>
      </c>
      <c r="C83" s="14" t="inlineStr">
        <is>
          <t>Flory</t>
        </is>
      </c>
      <c r="D83" s="14" t="inlineStr">
        <is>
          <t>solvent_name, temperature_missing</t>
        </is>
      </c>
      <c r="E83" s="14" t="inlineStr">
        <is>
          <t>Solvent Identification Failure</t>
        </is>
      </c>
    </row>
    <row r="84">
      <c r="A84" s="13" t="inlineStr">
        <is>
          <t>2023 - The Universal Calibration for Structure- and Solvent-Independent Molar Mass Determinations of Polymers Using Diffusion-Ordered Spectroscopy</t>
        </is>
      </c>
      <c r="B84" s="13" t="inlineStr">
        <is>
          <t>table1</t>
        </is>
      </c>
      <c r="C84" s="13" t="inlineStr">
        <is>
          <t>Flory</t>
        </is>
      </c>
      <c r="D84" s="13" t="inlineStr">
        <is>
          <t>temperature_missing</t>
        </is>
      </c>
      <c r="E84" s="13" t="inlineStr">
        <is>
          <t>Temperature Missing/Invalid</t>
        </is>
      </c>
    </row>
    <row r="85">
      <c r="A85" s="13" t="inlineStr">
        <is>
          <t>2023 - The Universal Calibration for Structure- and Solvent-Independent Molar Mass Determinations of Polymers Using Diffusion-Ordered Spectroscopy</t>
        </is>
      </c>
      <c r="B85" s="13" t="inlineStr">
        <is>
          <t>table1</t>
        </is>
      </c>
      <c r="C85" s="13" t="inlineStr">
        <is>
          <t>Flory</t>
        </is>
      </c>
      <c r="D85" s="13" t="inlineStr">
        <is>
          <t>temperature_missing</t>
        </is>
      </c>
      <c r="E85" s="13" t="inlineStr">
        <is>
          <t>Temperature Missing/Invalid</t>
        </is>
      </c>
    </row>
    <row r="86">
      <c r="A86" s="13" t="inlineStr">
        <is>
          <t>2023 - The Universal Calibration for Structure- and Solvent-Independent Molar Mass Determinations of Polymers Using Diffusion-Ordered Spectroscopy</t>
        </is>
      </c>
      <c r="B86" s="13" t="inlineStr">
        <is>
          <t>table1</t>
        </is>
      </c>
      <c r="C86" s="13" t="inlineStr">
        <is>
          <t>Flory</t>
        </is>
      </c>
      <c r="D86" s="13" t="inlineStr">
        <is>
          <t>temperature_missing</t>
        </is>
      </c>
      <c r="E86" s="13" t="inlineStr">
        <is>
          <t>Temperature Missing/Invalid</t>
        </is>
      </c>
    </row>
    <row r="87">
      <c r="A87" s="13" t="inlineStr">
        <is>
          <t>2023 - The Universal Calibration for Structure- and Solvent-Independent Molar Mass Determinations of Polymers Using Diffusion-Ordered Spectroscopy</t>
        </is>
      </c>
      <c r="B87" s="13" t="inlineStr">
        <is>
          <t>table1</t>
        </is>
      </c>
      <c r="C87" s="13" t="inlineStr">
        <is>
          <t>Flory</t>
        </is>
      </c>
      <c r="D87" s="13" t="inlineStr">
        <is>
          <t>temperature_missing</t>
        </is>
      </c>
      <c r="E87" s="13" t="inlineStr">
        <is>
          <t>Temperature Missing/Invalid</t>
        </is>
      </c>
    </row>
    <row r="88">
      <c r="A88" s="13" t="inlineStr">
        <is>
          <t>2023 - The Universal Calibration for Structure- and Solvent-Independent Molar Mass Determinations of Polymers Using Diffusion-Ordered Spectroscopy</t>
        </is>
      </c>
      <c r="B88" s="13" t="inlineStr">
        <is>
          <t>table1</t>
        </is>
      </c>
      <c r="C88" s="13" t="inlineStr">
        <is>
          <t>Flory</t>
        </is>
      </c>
      <c r="D88" s="13" t="inlineStr">
        <is>
          <t>temperature_missing</t>
        </is>
      </c>
      <c r="E88" s="13" t="inlineStr">
        <is>
          <t>Temperature Missing/Invalid</t>
        </is>
      </c>
    </row>
    <row r="89">
      <c r="A89" s="13" t="inlineStr">
        <is>
          <t>2023 - The Universal Calibration for Structure- and Solvent-Independent Molar Mass Determinations of Polymers Using Diffusion-Ordered Spectroscopy</t>
        </is>
      </c>
      <c r="B89" s="13" t="inlineStr">
        <is>
          <t>table1</t>
        </is>
      </c>
      <c r="C89" s="13" t="inlineStr">
        <is>
          <t>Flory</t>
        </is>
      </c>
      <c r="D89" s="13" t="inlineStr">
        <is>
          <t>temperature_missing</t>
        </is>
      </c>
      <c r="E89" s="13" t="inlineStr">
        <is>
          <t>Temperature Missing/Invalid</t>
        </is>
      </c>
    </row>
    <row r="90">
      <c r="A90" s="13" t="inlineStr">
        <is>
          <t>2023 - The Universal Calibration for Structure- and Solvent-Independent Molar Mass Determinations of Polymers Using Diffusion-Ordered Spectroscopy</t>
        </is>
      </c>
      <c r="B90" s="13" t="inlineStr">
        <is>
          <t>table1</t>
        </is>
      </c>
      <c r="C90" s="13" t="inlineStr">
        <is>
          <t>Flory</t>
        </is>
      </c>
      <c r="D90" s="13" t="inlineStr">
        <is>
          <t>temperature_missing</t>
        </is>
      </c>
      <c r="E90" s="13" t="inlineStr">
        <is>
          <t>Temperature Missing/Invalid</t>
        </is>
      </c>
    </row>
    <row r="91">
      <c r="A91" s="13" t="inlineStr">
        <is>
          <t>2023 - The Universal Calibration for Structure- and Solvent-Independent Molar Mass Determinations of Polymers Using Diffusion-Ordered Spectroscopy</t>
        </is>
      </c>
      <c r="B91" s="13" t="inlineStr">
        <is>
          <t>table1</t>
        </is>
      </c>
      <c r="C91" s="13" t="inlineStr">
        <is>
          <t>Flory</t>
        </is>
      </c>
      <c r="D91" s="13" t="inlineStr">
        <is>
          <t>temperature_missing</t>
        </is>
      </c>
      <c r="E91" s="13" t="inlineStr">
        <is>
          <t>Temperature Missing/Invalid</t>
        </is>
      </c>
    </row>
    <row r="92">
      <c r="A92" s="13" t="inlineStr">
        <is>
          <t>2023 - The Universal Calibration for Structure- and Solvent-Independent Molar Mass Determinations of Polymers Using Diffusion-Ordered Spectroscopy</t>
        </is>
      </c>
      <c r="B92" s="13" t="inlineStr">
        <is>
          <t>table1</t>
        </is>
      </c>
      <c r="C92" s="13" t="inlineStr">
        <is>
          <t>Flory</t>
        </is>
      </c>
      <c r="D92" s="13" t="inlineStr">
        <is>
          <t>temperature_missing</t>
        </is>
      </c>
      <c r="E92" s="13" t="inlineStr">
        <is>
          <t>Temperature Missing/Invalid</t>
        </is>
      </c>
    </row>
    <row r="93">
      <c r="A93" s="13" t="inlineStr">
        <is>
          <t>2023 - The Universal Calibration for Structure- and Solvent-Independent Molar Mass Determinations of Polymers Using Diffusion-Ordered Spectroscopy</t>
        </is>
      </c>
      <c r="B93" s="13" t="inlineStr">
        <is>
          <t>table1</t>
        </is>
      </c>
      <c r="C93" s="13" t="inlineStr">
        <is>
          <t>Flory</t>
        </is>
      </c>
      <c r="D93" s="13" t="inlineStr">
        <is>
          <t>temperature_missing</t>
        </is>
      </c>
      <c r="E93" s="13" t="inlineStr">
        <is>
          <t>Temperature Missing/Invalid</t>
        </is>
      </c>
    </row>
    <row r="94">
      <c r="A94" s="13" t="inlineStr">
        <is>
          <t>2023 - The Universal Calibration for Structure- and Solvent-Independent Molar Mass Determinations of Polymers Using Diffusion-Ordered Spectroscopy</t>
        </is>
      </c>
      <c r="B94" s="13" t="inlineStr">
        <is>
          <t>table1</t>
        </is>
      </c>
      <c r="C94" s="13" t="inlineStr">
        <is>
          <t>Flory</t>
        </is>
      </c>
      <c r="D94" s="13" t="inlineStr">
        <is>
          <t>temperature_missing</t>
        </is>
      </c>
      <c r="E94" s="13" t="inlineStr">
        <is>
          <t>Temperature Missing/Invalid</t>
        </is>
      </c>
    </row>
    <row r="95">
      <c r="A95" s="13" t="inlineStr">
        <is>
          <t>2023 - The Universal Calibration for Structure- and Solvent-Independent Molar Mass Determinations of Polymers Using Diffusion-Ordered Spectroscopy</t>
        </is>
      </c>
      <c r="B95" s="13" t="inlineStr">
        <is>
          <t>table1</t>
        </is>
      </c>
      <c r="C95" s="13" t="inlineStr">
        <is>
          <t>Flory</t>
        </is>
      </c>
      <c r="D95" s="13" t="inlineStr">
        <is>
          <t>temperature_missing</t>
        </is>
      </c>
      <c r="E95" s="13" t="inlineStr">
        <is>
          <t>Temperature Missing/Invalid</t>
        </is>
      </c>
    </row>
    <row r="96">
      <c r="A96" s="13" t="inlineStr">
        <is>
          <t>2023 - The Universal Calibration for Structure- and Solvent-Independent Molar Mass Determinations of Polymers Using Diffusion-Ordered Spectroscopy</t>
        </is>
      </c>
      <c r="B96" s="13" t="inlineStr">
        <is>
          <t>table1</t>
        </is>
      </c>
      <c r="C96" s="13" t="inlineStr">
        <is>
          <t>Flory</t>
        </is>
      </c>
      <c r="D96" s="13" t="inlineStr">
        <is>
          <t>temperature_missing</t>
        </is>
      </c>
      <c r="E96" s="13" t="inlineStr">
        <is>
          <t>Temperature Missing/Invalid</t>
        </is>
      </c>
    </row>
    <row r="97">
      <c r="A97" s="13" t="inlineStr">
        <is>
          <t>2023 - The Universal Calibration for Structure- and Solvent-Independent Molar Mass Determinations of Polymers Using Diffusion-Ordered Spectroscopy</t>
        </is>
      </c>
      <c r="B97" s="13" t="inlineStr">
        <is>
          <t>table1</t>
        </is>
      </c>
      <c r="C97" s="13" t="inlineStr">
        <is>
          <t>Flory</t>
        </is>
      </c>
      <c r="D97" s="13" t="inlineStr">
        <is>
          <t>temperature_missing</t>
        </is>
      </c>
      <c r="E97" s="13" t="inlineStr">
        <is>
          <t>Temperature Missing/Invalid</t>
        </is>
      </c>
    </row>
    <row r="98">
      <c r="A98" s="13" t="inlineStr">
        <is>
          <t>2023 - The Universal Calibration for Structure- and Solvent-Independent Molar Mass Determinations of Polymers Using Diffusion-Ordered Spectroscopy</t>
        </is>
      </c>
      <c r="B98" s="13" t="inlineStr">
        <is>
          <t>table1</t>
        </is>
      </c>
      <c r="C98" s="13" t="inlineStr">
        <is>
          <t>Flory</t>
        </is>
      </c>
      <c r="D98" s="13" t="inlineStr">
        <is>
          <t>temperature_missing</t>
        </is>
      </c>
      <c r="E98" s="13" t="inlineStr">
        <is>
          <t>Temperature Missing/Invalid</t>
        </is>
      </c>
    </row>
    <row r="99">
      <c r="A99" s="13" t="inlineStr">
        <is>
          <t>2023 - The Universal Calibration for Structure- and Solvent-Independent Molar Mass Determinations of Polymers Using Diffusion-Ordered Spectroscopy</t>
        </is>
      </c>
      <c r="B99" s="13" t="inlineStr">
        <is>
          <t>table1</t>
        </is>
      </c>
      <c r="C99" s="13" t="inlineStr">
        <is>
          <t>Flory</t>
        </is>
      </c>
      <c r="D99" s="13" t="inlineStr">
        <is>
          <t>temperature_missing</t>
        </is>
      </c>
      <c r="E99" s="13" t="inlineStr">
        <is>
          <t>Temperature Missing/Invalid</t>
        </is>
      </c>
    </row>
    <row r="100">
      <c r="A100" s="14" t="inlineStr">
        <is>
          <t>2024 - Molar Mass Determination for Small and Large Molecules Using Diffusion-Ordered Spectroscopy - SI</t>
        </is>
      </c>
      <c r="B100" s="14" t="inlineStr">
        <is>
          <t>table7</t>
        </is>
      </c>
      <c r="C100" s="14" t="inlineStr">
        <is>
          <t>Flory</t>
        </is>
      </c>
      <c r="D100" s="14" t="inlineStr">
        <is>
          <t>polymer_name</t>
        </is>
      </c>
      <c r="E100" s="14" t="inlineStr">
        <is>
          <t>Polymer Identification Failure</t>
        </is>
      </c>
    </row>
    <row r="101">
      <c r="A101" s="14" t="inlineStr">
        <is>
          <t>2024 - Molar Mass Determination for Small and Large Molecules Using Diffusion-Ordered Spectroscopy - SI</t>
        </is>
      </c>
      <c r="B101" s="14" t="inlineStr">
        <is>
          <t>table7</t>
        </is>
      </c>
      <c r="C101" s="14" t="inlineStr">
        <is>
          <t>Flory</t>
        </is>
      </c>
      <c r="D101" s="14" t="inlineStr">
        <is>
          <t>polymer_name</t>
        </is>
      </c>
      <c r="E101" s="14" t="inlineStr">
        <is>
          <t>Polymer Identification Failure</t>
        </is>
      </c>
    </row>
    <row r="102">
      <c r="A102" s="14" t="inlineStr">
        <is>
          <t>2024 - Molar Mass Determination for Small and Large Molecules Using Diffusion-Ordered Spectroscopy - SI</t>
        </is>
      </c>
      <c r="B102" s="14" t="inlineStr">
        <is>
          <t>table7</t>
        </is>
      </c>
      <c r="C102" s="14" t="inlineStr">
        <is>
          <t>Flory</t>
        </is>
      </c>
      <c r="D102" s="14" t="inlineStr">
        <is>
          <t>polymer_name</t>
        </is>
      </c>
      <c r="E102" s="14" t="inlineStr">
        <is>
          <t>Polymer Identification Failure</t>
        </is>
      </c>
    </row>
    <row r="103">
      <c r="A103" s="14" t="inlineStr">
        <is>
          <t>2024 - Molar Mass Determination for Small and Large Molecules Using Diffusion-Ordered Spectroscopy - SI</t>
        </is>
      </c>
      <c r="B103" s="14" t="inlineStr">
        <is>
          <t>table7</t>
        </is>
      </c>
      <c r="C103" s="14" t="inlineStr">
        <is>
          <t>Flory</t>
        </is>
      </c>
      <c r="D103" s="14" t="inlineStr">
        <is>
          <t>polymer_name</t>
        </is>
      </c>
      <c r="E103" s="14" t="inlineStr">
        <is>
          <t>Polymer Identification Failure</t>
        </is>
      </c>
    </row>
    <row r="104">
      <c r="A104" s="14" t="inlineStr">
        <is>
          <t>2024 - Molar Mass Determination for Small and Large Molecules Using Diffusion-Ordered Spectroscopy - SI</t>
        </is>
      </c>
      <c r="B104" s="14" t="inlineStr">
        <is>
          <t>table7</t>
        </is>
      </c>
      <c r="C104" s="14" t="inlineStr">
        <is>
          <t>Flory</t>
        </is>
      </c>
      <c r="D104" s="14" t="inlineStr">
        <is>
          <t>polymer_name</t>
        </is>
      </c>
      <c r="E104" s="14" t="inlineStr">
        <is>
          <t>Polymer Identification Failure</t>
        </is>
      </c>
    </row>
    <row r="105">
      <c r="A105" s="12" t="inlineStr">
        <is>
          <t>2024 - Molar Mass Determination for Small and Large Molecules Using Diffusion-Ordered Spectroscopy - SI</t>
        </is>
      </c>
      <c r="B105" s="12" t="inlineStr">
        <is>
          <t>table7</t>
        </is>
      </c>
      <c r="C105" s="12" t="inlineStr">
        <is>
          <t>Flory</t>
        </is>
      </c>
      <c r="D105" s="12" t="inlineStr">
        <is>
          <t>v_value_out_of_range, polymer_name</t>
        </is>
      </c>
      <c r="E105" s="12" t="inlineStr">
        <is>
          <t>v_value Out of Range</t>
        </is>
      </c>
    </row>
    <row r="106">
      <c r="A106" s="14" t="inlineStr">
        <is>
          <t>2024 - Molar Mass Determination for Small and Large Molecules Using Diffusion-Ordered Spectroscopy - SI</t>
        </is>
      </c>
      <c r="B106" s="14" t="inlineStr">
        <is>
          <t>table7</t>
        </is>
      </c>
      <c r="C106" s="14" t="inlineStr">
        <is>
          <t>Flory</t>
        </is>
      </c>
      <c r="D106" s="14" t="inlineStr">
        <is>
          <t>polymer_name</t>
        </is>
      </c>
      <c r="E106" s="14" t="inlineStr">
        <is>
          <t>Polymer Identification Failure</t>
        </is>
      </c>
    </row>
    <row r="107">
      <c r="A107" s="14" t="inlineStr">
        <is>
          <t>2024 - Molar Mass Determination for Small and Large Molecules Using Diffusion-Ordered Spectroscopy - SI</t>
        </is>
      </c>
      <c r="B107" s="14" t="inlineStr">
        <is>
          <t>table7</t>
        </is>
      </c>
      <c r="C107" s="14" t="inlineStr">
        <is>
          <t>Flory</t>
        </is>
      </c>
      <c r="D107" s="14" t="inlineStr">
        <is>
          <t>polymer_name</t>
        </is>
      </c>
      <c r="E107" s="14" t="inlineStr">
        <is>
          <t>Polymer Identification Failure</t>
        </is>
      </c>
    </row>
    <row r="108">
      <c r="A108" s="14" t="inlineStr">
        <is>
          <t>2024 - Molar Mass Determination for Small and Large Molecules Using Diffusion-Ordered Spectroscopy - SI</t>
        </is>
      </c>
      <c r="B108" s="14" t="inlineStr">
        <is>
          <t>table7</t>
        </is>
      </c>
      <c r="C108" s="14" t="inlineStr">
        <is>
          <t>Flory</t>
        </is>
      </c>
      <c r="D108" s="14" t="inlineStr">
        <is>
          <t>polymer_name</t>
        </is>
      </c>
      <c r="E108" s="14" t="inlineStr">
        <is>
          <t>Polymer Identification Failure</t>
        </is>
      </c>
    </row>
    <row r="109">
      <c r="A109" s="14" t="inlineStr">
        <is>
          <t>2024 - Molar Mass Determination for Small and Large Molecules Using Diffusion-Ordered Spectroscopy - SI</t>
        </is>
      </c>
      <c r="B109" s="14" t="inlineStr">
        <is>
          <t>table7</t>
        </is>
      </c>
      <c r="C109" s="14" t="inlineStr">
        <is>
          <t>Flory</t>
        </is>
      </c>
      <c r="D109" s="14" t="inlineStr">
        <is>
          <t>polymer_name</t>
        </is>
      </c>
      <c r="E109" s="14" t="inlineStr">
        <is>
          <t>Polymer Identification Failure</t>
        </is>
      </c>
    </row>
    <row r="110">
      <c r="A110" s="14" t="inlineStr">
        <is>
          <t>2024 - Molar Mass Determination for Small and Large Molecules Using Diffusion-Ordered Spectroscopy - SI</t>
        </is>
      </c>
      <c r="B110" s="14" t="inlineStr">
        <is>
          <t>table7</t>
        </is>
      </c>
      <c r="C110" s="14" t="inlineStr">
        <is>
          <t>Flory</t>
        </is>
      </c>
      <c r="D110" s="14" t="inlineStr">
        <is>
          <t>polymer_name</t>
        </is>
      </c>
      <c r="E110" s="14" t="inlineStr">
        <is>
          <t>Polymer Identification Failure</t>
        </is>
      </c>
    </row>
    <row r="111">
      <c r="A111" s="14" t="inlineStr">
        <is>
          <t>2024 - Molar Mass Determination for Small and Large Molecules Using Diffusion-Ordered Spectroscopy - SI</t>
        </is>
      </c>
      <c r="B111" s="14" t="inlineStr">
        <is>
          <t>table7</t>
        </is>
      </c>
      <c r="C111" s="14" t="inlineStr">
        <is>
          <t>Flory</t>
        </is>
      </c>
      <c r="D111" s="14" t="inlineStr">
        <is>
          <t>polymer_name</t>
        </is>
      </c>
      <c r="E111" s="14" t="inlineStr">
        <is>
          <t>Polymer Identification Failure</t>
        </is>
      </c>
    </row>
    <row r="112">
      <c r="A112" s="12" t="inlineStr">
        <is>
          <t>2024 - Molar Mass Determination for Small and Large Molecules Using Diffusion-Ordered Spectroscopy - SI</t>
        </is>
      </c>
      <c r="B112" s="12" t="inlineStr">
        <is>
          <t>table7</t>
        </is>
      </c>
      <c r="C112" s="12" t="inlineStr">
        <is>
          <t>Flory</t>
        </is>
      </c>
      <c r="D112" s="12" t="inlineStr">
        <is>
          <t>polymer_name, D_out_of_range</t>
        </is>
      </c>
      <c r="E112" s="12" t="inlineStr">
        <is>
          <t>D Value Out of Range</t>
        </is>
      </c>
    </row>
    <row r="113">
      <c r="A113" s="14" t="inlineStr">
        <is>
          <t>2024 - Molar Mass Determination for Small and Large Molecules Using Diffusion-Ordered Spectroscopy - SI</t>
        </is>
      </c>
      <c r="B113" s="14" t="inlineStr">
        <is>
          <t>table7</t>
        </is>
      </c>
      <c r="C113" s="14" t="inlineStr">
        <is>
          <t>Flory</t>
        </is>
      </c>
      <c r="D113" s="14" t="inlineStr">
        <is>
          <t>polymer_name</t>
        </is>
      </c>
      <c r="E113" s="14" t="inlineStr">
        <is>
          <t>Polymer Identification Failure</t>
        </is>
      </c>
    </row>
    <row r="114">
      <c r="A114" s="14" t="inlineStr">
        <is>
          <t>2024 - Molar Mass Determination for Small and Large Molecules Using Diffusion-Ordered Spectroscopy - SI</t>
        </is>
      </c>
      <c r="B114" s="14" t="inlineStr">
        <is>
          <t>table7</t>
        </is>
      </c>
      <c r="C114" s="14" t="inlineStr">
        <is>
          <t>Flory</t>
        </is>
      </c>
      <c r="D114" s="14" t="inlineStr">
        <is>
          <t>polymer_name</t>
        </is>
      </c>
      <c r="E114" s="14" t="inlineStr">
        <is>
          <t>Polymer Identification Failure</t>
        </is>
      </c>
    </row>
    <row r="115">
      <c r="A115" s="14" t="inlineStr">
        <is>
          <t>2024 - Molar Mass Determination for Small and Large Molecules Using Diffusion-Ordered Spectroscopy - SI</t>
        </is>
      </c>
      <c r="B115" s="14" t="inlineStr">
        <is>
          <t>table7</t>
        </is>
      </c>
      <c r="C115" s="14" t="inlineStr">
        <is>
          <t>Flory</t>
        </is>
      </c>
      <c r="D115" s="14" t="inlineStr">
        <is>
          <t>polymer_name</t>
        </is>
      </c>
      <c r="E115" s="14" t="inlineStr">
        <is>
          <t>Polymer Identification Failure</t>
        </is>
      </c>
    </row>
    <row r="116">
      <c r="A116" s="14" t="inlineStr">
        <is>
          <t>2024 - Molar Mass Determination for Small and Large Molecules Using Diffusion-Ordered Spectroscopy - SI</t>
        </is>
      </c>
      <c r="B116" s="14" t="inlineStr">
        <is>
          <t>table7</t>
        </is>
      </c>
      <c r="C116" s="14" t="inlineStr">
        <is>
          <t>Flory</t>
        </is>
      </c>
      <c r="D116" s="14" t="inlineStr">
        <is>
          <t>polymer_name</t>
        </is>
      </c>
      <c r="E116" s="14" t="inlineStr">
        <is>
          <t>Polymer Identification Failure</t>
        </is>
      </c>
    </row>
    <row r="117">
      <c r="A117" s="14" t="inlineStr">
        <is>
          <t>2024 - Molar Mass Determination for Small and Large Molecules Using Diffusion-Ordered Spectroscopy - SI</t>
        </is>
      </c>
      <c r="B117" s="14" t="inlineStr">
        <is>
          <t>table7</t>
        </is>
      </c>
      <c r="C117" s="14" t="inlineStr">
        <is>
          <t>Flory</t>
        </is>
      </c>
      <c r="D117" s="14" t="inlineStr">
        <is>
          <t>polymer_name</t>
        </is>
      </c>
      <c r="E117" s="14" t="inlineStr">
        <is>
          <t>Polymer Identification Failure</t>
        </is>
      </c>
    </row>
    <row r="118">
      <c r="A118" s="14" t="inlineStr">
        <is>
          <t>2024 - Molar Mass Determination for Small and Large Molecules Using Diffusion-Ordered Spectroscopy - SI</t>
        </is>
      </c>
      <c r="B118" s="14" t="inlineStr">
        <is>
          <t>table7</t>
        </is>
      </c>
      <c r="C118" s="14" t="inlineStr">
        <is>
          <t>Flory</t>
        </is>
      </c>
      <c r="D118" s="14" t="inlineStr">
        <is>
          <t>polymer_name</t>
        </is>
      </c>
      <c r="E118" s="14" t="inlineStr">
        <is>
          <t>Polymer Identification Failure</t>
        </is>
      </c>
    </row>
    <row r="119">
      <c r="A119" s="12" t="inlineStr">
        <is>
          <t>2024 - Molar Mass Determination for Small and Large Molecules Using Diffusion-Ordered Spectroscopy - SI</t>
        </is>
      </c>
      <c r="B119" s="12" t="inlineStr">
        <is>
          <t>table7</t>
        </is>
      </c>
      <c r="C119" s="12" t="inlineStr">
        <is>
          <t>Flory</t>
        </is>
      </c>
      <c r="D119" s="12" t="inlineStr">
        <is>
          <t>polymer_name, D_out_of_range</t>
        </is>
      </c>
      <c r="E119" s="12" t="inlineStr">
        <is>
          <t>D Value Out of Range</t>
        </is>
      </c>
    </row>
    <row r="120">
      <c r="A120" s="14" t="inlineStr">
        <is>
          <t>2024 - Molar Mass Determination for Small and Large Molecules Using Diffusion-Ordered Spectroscopy - SI</t>
        </is>
      </c>
      <c r="B120" s="14" t="inlineStr">
        <is>
          <t>table7</t>
        </is>
      </c>
      <c r="C120" s="14" t="inlineStr">
        <is>
          <t>Flory</t>
        </is>
      </c>
      <c r="D120" s="14" t="inlineStr">
        <is>
          <t>polymer_name</t>
        </is>
      </c>
      <c r="E120" s="14" t="inlineStr">
        <is>
          <t>Polymer Identification Failure</t>
        </is>
      </c>
    </row>
    <row r="121">
      <c r="A121" s="13" t="inlineStr">
        <is>
          <t>2024 - Molar Mass Determination for Small and Large Molecules Using Diffusion-Ordered Spectroscopy - SI</t>
        </is>
      </c>
      <c r="B121" s="13" t="inlineStr">
        <is>
          <t>table8</t>
        </is>
      </c>
      <c r="C121" s="13" t="inlineStr">
        <is>
          <t>Flory</t>
        </is>
      </c>
      <c r="D121" s="13" t="inlineStr">
        <is>
          <t>temperature_missing</t>
        </is>
      </c>
      <c r="E121" s="13" t="inlineStr">
        <is>
          <t>Temperature Missing/Invalid</t>
        </is>
      </c>
    </row>
    <row r="122">
      <c r="A122" s="13" t="inlineStr">
        <is>
          <t>2024 - Molar Mass Determination for Small and Large Molecules Using Diffusion-Ordered Spectroscopy - SI</t>
        </is>
      </c>
      <c r="B122" s="13" t="inlineStr">
        <is>
          <t>table8</t>
        </is>
      </c>
      <c r="C122" s="13" t="inlineStr">
        <is>
          <t>Flory</t>
        </is>
      </c>
      <c r="D122" s="13" t="inlineStr">
        <is>
          <t>temperature_missing</t>
        </is>
      </c>
      <c r="E122" s="13" t="inlineStr">
        <is>
          <t>Temperature Missing/Invalid</t>
        </is>
      </c>
    </row>
    <row r="123">
      <c r="A123" s="13" t="inlineStr">
        <is>
          <t>2024 - Molar Mass Determination for Small and Large Molecules Using Diffusion-Ordered Spectroscopy - SI</t>
        </is>
      </c>
      <c r="B123" s="13" t="inlineStr">
        <is>
          <t>table8</t>
        </is>
      </c>
      <c r="C123" s="13" t="inlineStr">
        <is>
          <t>Flory</t>
        </is>
      </c>
      <c r="D123" s="13" t="inlineStr">
        <is>
          <t>temperature_missing</t>
        </is>
      </c>
      <c r="E123" s="13" t="inlineStr">
        <is>
          <t>Temperature Missing/Invalid</t>
        </is>
      </c>
    </row>
    <row r="124">
      <c r="A124" s="13" t="inlineStr">
        <is>
          <t>2024 - Molar Mass Determination for Small and Large Molecules Using Diffusion-Ordered Spectroscopy - SI</t>
        </is>
      </c>
      <c r="B124" s="13" t="inlineStr">
        <is>
          <t>table8</t>
        </is>
      </c>
      <c r="C124" s="13" t="inlineStr">
        <is>
          <t>Flory</t>
        </is>
      </c>
      <c r="D124" s="13" t="inlineStr">
        <is>
          <t>temperature_missing</t>
        </is>
      </c>
      <c r="E124" s="13" t="inlineStr">
        <is>
          <t>Temperature Missing/Invalid</t>
        </is>
      </c>
    </row>
    <row r="125">
      <c r="A125" s="13" t="inlineStr">
        <is>
          <t>2024 - Molar Mass Determination for Small and Large Molecules Using Diffusion-Ordered Spectroscopy - SI</t>
        </is>
      </c>
      <c r="B125" s="13" t="inlineStr">
        <is>
          <t>table8</t>
        </is>
      </c>
      <c r="C125" s="13" t="inlineStr">
        <is>
          <t>Flory</t>
        </is>
      </c>
      <c r="D125" s="13" t="inlineStr">
        <is>
          <t>temperature_missing</t>
        </is>
      </c>
      <c r="E125" s="13" t="inlineStr">
        <is>
          <t>Temperature Missing/Invalid</t>
        </is>
      </c>
    </row>
    <row r="126">
      <c r="A126" s="13" t="inlineStr">
        <is>
          <t>2024 - Molar Mass Determination for Small and Large Molecules Using Diffusion-Ordered Spectroscopy - SI</t>
        </is>
      </c>
      <c r="B126" s="13" t="inlineStr">
        <is>
          <t>table8</t>
        </is>
      </c>
      <c r="C126" s="13" t="inlineStr">
        <is>
          <t>Flory</t>
        </is>
      </c>
      <c r="D126" s="13" t="inlineStr">
        <is>
          <t>temperature_missing</t>
        </is>
      </c>
      <c r="E126" s="13" t="inlineStr">
        <is>
          <t>Temperature Missing/Invalid</t>
        </is>
      </c>
    </row>
    <row r="127">
      <c r="A127" s="13" t="inlineStr">
        <is>
          <t>2024 - Molar Mass Determination for Small and Large Molecules Using Diffusion-Ordered Spectroscopy - SI</t>
        </is>
      </c>
      <c r="B127" s="13" t="inlineStr">
        <is>
          <t>table8</t>
        </is>
      </c>
      <c r="C127" s="13" t="inlineStr">
        <is>
          <t>Flory</t>
        </is>
      </c>
      <c r="D127" s="13" t="inlineStr">
        <is>
          <t>temperature_missing</t>
        </is>
      </c>
      <c r="E127" s="13" t="inlineStr">
        <is>
          <t>Temperature Missing/Invalid</t>
        </is>
      </c>
    </row>
    <row r="128">
      <c r="A128" s="13" t="inlineStr">
        <is>
          <t>2024 - Molar Mass Determination for Small and Large Molecules Using Diffusion-Ordered Spectroscopy - SI</t>
        </is>
      </c>
      <c r="B128" s="13" t="inlineStr">
        <is>
          <t>table8</t>
        </is>
      </c>
      <c r="C128" s="13" t="inlineStr">
        <is>
          <t>Flory</t>
        </is>
      </c>
      <c r="D128" s="13" t="inlineStr">
        <is>
          <t>temperature_missing</t>
        </is>
      </c>
      <c r="E128" s="13" t="inlineStr">
        <is>
          <t>Temperature Missing/Invalid</t>
        </is>
      </c>
    </row>
    <row r="129">
      <c r="A129" s="13" t="inlineStr">
        <is>
          <t>2024 - Molar Mass Determination for Small and Large Molecules Using Diffusion-Ordered Spectroscopy - SI</t>
        </is>
      </c>
      <c r="B129" s="13" t="inlineStr">
        <is>
          <t>table8</t>
        </is>
      </c>
      <c r="C129" s="13" t="inlineStr">
        <is>
          <t>Flory</t>
        </is>
      </c>
      <c r="D129" s="13" t="inlineStr">
        <is>
          <t>temperature_missing</t>
        </is>
      </c>
      <c r="E129" s="13" t="inlineStr">
        <is>
          <t>Temperature Missing/Invalid</t>
        </is>
      </c>
    </row>
    <row r="130">
      <c r="A130" s="13" t="inlineStr">
        <is>
          <t>2024 - Molar Mass Determination for Small and Large Molecules Using Diffusion-Ordered Spectroscopy - SI</t>
        </is>
      </c>
      <c r="B130" s="13" t="inlineStr">
        <is>
          <t>table8</t>
        </is>
      </c>
      <c r="C130" s="13" t="inlineStr">
        <is>
          <t>Flory</t>
        </is>
      </c>
      <c r="D130" s="13" t="inlineStr">
        <is>
          <t>temperature_missing</t>
        </is>
      </c>
      <c r="E130" s="13" t="inlineStr">
        <is>
          <t>Temperature Missing/Invalid</t>
        </is>
      </c>
    </row>
    <row r="131">
      <c r="A131" s="13" t="inlineStr">
        <is>
          <t>2024 - Molar Mass Determination for Small and Large Molecules Using Diffusion-Ordered Spectroscopy - SI</t>
        </is>
      </c>
      <c r="B131" s="13" t="inlineStr">
        <is>
          <t>table8</t>
        </is>
      </c>
      <c r="C131" s="13" t="inlineStr">
        <is>
          <t>Flory</t>
        </is>
      </c>
      <c r="D131" s="13" t="inlineStr">
        <is>
          <t>temperature_missing</t>
        </is>
      </c>
      <c r="E131" s="13" t="inlineStr">
        <is>
          <t>Temperature Missing/Invalid</t>
        </is>
      </c>
    </row>
    <row r="132">
      <c r="A132" s="13" t="inlineStr">
        <is>
          <t>2024 - Molar Mass Determination for Small and Large Molecules Using Diffusion-Ordered Spectroscopy - SI</t>
        </is>
      </c>
      <c r="B132" s="13" t="inlineStr">
        <is>
          <t>table8</t>
        </is>
      </c>
      <c r="C132" s="13" t="inlineStr">
        <is>
          <t>Flory</t>
        </is>
      </c>
      <c r="D132" s="13" t="inlineStr">
        <is>
          <t>temperature_missing</t>
        </is>
      </c>
      <c r="E132" s="13" t="inlineStr">
        <is>
          <t>Temperature Missing/Invalid</t>
        </is>
      </c>
    </row>
    <row r="133">
      <c r="A133" s="13" t="inlineStr">
        <is>
          <t>2024 - Molar Mass Determination for Small and Large Molecules Using Diffusion-Ordered Spectroscopy - SI</t>
        </is>
      </c>
      <c r="B133" s="13" t="inlineStr">
        <is>
          <t>table8</t>
        </is>
      </c>
      <c r="C133" s="13" t="inlineStr">
        <is>
          <t>Flory</t>
        </is>
      </c>
      <c r="D133" s="13" t="inlineStr">
        <is>
          <t>temperature_missing</t>
        </is>
      </c>
      <c r="E133" s="13" t="inlineStr">
        <is>
          <t>Temperature Missing/Invalid</t>
        </is>
      </c>
    </row>
    <row r="134">
      <c r="A134" s="13" t="inlineStr">
        <is>
          <t>2024 - Molar Mass Determination for Small and Large Molecules Using Diffusion-Ordered Spectroscopy - SI</t>
        </is>
      </c>
      <c r="B134" s="13" t="inlineStr">
        <is>
          <t>table8</t>
        </is>
      </c>
      <c r="C134" s="13" t="inlineStr">
        <is>
          <t>Flory</t>
        </is>
      </c>
      <c r="D134" s="13" t="inlineStr">
        <is>
          <t>temperature_missing</t>
        </is>
      </c>
      <c r="E134" s="13" t="inlineStr">
        <is>
          <t>Temperature Missing/Invalid</t>
        </is>
      </c>
    </row>
    <row r="135">
      <c r="A135" s="13" t="inlineStr">
        <is>
          <t>2024 - Molar Mass Determination for Small and Large Molecules Using Diffusion-Ordered Spectroscopy - SI</t>
        </is>
      </c>
      <c r="B135" s="13" t="inlineStr">
        <is>
          <t>table8</t>
        </is>
      </c>
      <c r="C135" s="13" t="inlineStr">
        <is>
          <t>Flory</t>
        </is>
      </c>
      <c r="D135" s="13" t="inlineStr">
        <is>
          <t>temperature_missing</t>
        </is>
      </c>
      <c r="E135" s="13" t="inlineStr">
        <is>
          <t>Temperature Missing/Invalid</t>
        </is>
      </c>
    </row>
    <row r="136">
      <c r="A136" s="13" t="inlineStr">
        <is>
          <t>2024 - Molar Mass Determination for Small and Large Molecules Using Diffusion-Ordered Spectroscopy - SI</t>
        </is>
      </c>
      <c r="B136" s="13" t="inlineStr">
        <is>
          <t>table8</t>
        </is>
      </c>
      <c r="C136" s="13" t="inlineStr">
        <is>
          <t>Flory</t>
        </is>
      </c>
      <c r="D136" s="13" t="inlineStr">
        <is>
          <t>temperature_missing</t>
        </is>
      </c>
      <c r="E136" s="13" t="inlineStr">
        <is>
          <t>Temperature Missing/Invalid</t>
        </is>
      </c>
    </row>
    <row r="137">
      <c r="A137" s="13" t="inlineStr">
        <is>
          <t>2024 - Molar Mass Determination for Small and Large Molecules Using Diffusion-Ordered Spectroscopy - SI</t>
        </is>
      </c>
      <c r="B137" s="13" t="inlineStr">
        <is>
          <t>table8</t>
        </is>
      </c>
      <c r="C137" s="13" t="inlineStr">
        <is>
          <t>Flory</t>
        </is>
      </c>
      <c r="D137" s="13" t="inlineStr">
        <is>
          <t>temperature_missing</t>
        </is>
      </c>
      <c r="E137" s="13" t="inlineStr">
        <is>
          <t>Temperature Missing/Invalid</t>
        </is>
      </c>
    </row>
    <row r="138">
      <c r="A138" s="13" t="inlineStr">
        <is>
          <t>2024 - Molar Mass Determination for Small and Large Molecules Using Diffusion-Ordered Spectroscopy - SI</t>
        </is>
      </c>
      <c r="B138" s="13" t="inlineStr">
        <is>
          <t>table8</t>
        </is>
      </c>
      <c r="C138" s="13" t="inlineStr">
        <is>
          <t>Flory</t>
        </is>
      </c>
      <c r="D138" s="13" t="inlineStr">
        <is>
          <t>temperature_missing</t>
        </is>
      </c>
      <c r="E138" s="13" t="inlineStr">
        <is>
          <t>Temperature Missing/Invalid</t>
        </is>
      </c>
    </row>
    <row r="139">
      <c r="A139" s="13" t="inlineStr">
        <is>
          <t>2024 - Molar Mass Determination for Small and Large Molecules Using Diffusion-Ordered Spectroscopy - SI</t>
        </is>
      </c>
      <c r="B139" s="13" t="inlineStr">
        <is>
          <t>table8</t>
        </is>
      </c>
      <c r="C139" s="13" t="inlineStr">
        <is>
          <t>Flory</t>
        </is>
      </c>
      <c r="D139" s="13" t="inlineStr">
        <is>
          <t>temperature_missing</t>
        </is>
      </c>
      <c r="E139" s="13" t="inlineStr">
        <is>
          <t>Temperature Missing/Invalid</t>
        </is>
      </c>
    </row>
    <row r="140">
      <c r="A140" s="13" t="inlineStr">
        <is>
          <t>2024 - Molar Mass Determination for Small and Large Molecules Using Diffusion-Ordered Spectroscopy - SI</t>
        </is>
      </c>
      <c r="B140" s="13" t="inlineStr">
        <is>
          <t>table9</t>
        </is>
      </c>
      <c r="C140" s="13" t="inlineStr">
        <is>
          <t>Flory</t>
        </is>
      </c>
      <c r="D140" s="13" t="inlineStr">
        <is>
          <t>temperature_missing</t>
        </is>
      </c>
      <c r="E140" s="13" t="inlineStr">
        <is>
          <t>Temperature Missing/Invalid</t>
        </is>
      </c>
    </row>
    <row r="141">
      <c r="A141" s="13" t="inlineStr">
        <is>
          <t>2024 - Molar Mass Determination for Small and Large Molecules Using Diffusion-Ordered Spectroscopy - SI</t>
        </is>
      </c>
      <c r="B141" s="13" t="inlineStr">
        <is>
          <t>table9</t>
        </is>
      </c>
      <c r="C141" s="13" t="inlineStr">
        <is>
          <t>Flory</t>
        </is>
      </c>
      <c r="D141" s="13" t="inlineStr">
        <is>
          <t>temperature_missing</t>
        </is>
      </c>
      <c r="E141" s="13" t="inlineStr">
        <is>
          <t>Temperature Missing/Invalid</t>
        </is>
      </c>
    </row>
    <row r="142">
      <c r="A142" s="13" t="inlineStr">
        <is>
          <t>2024 - Molar Mass Determination for Small and Large Molecules Using Diffusion-Ordered Spectroscopy - SI</t>
        </is>
      </c>
      <c r="B142" s="13" t="inlineStr">
        <is>
          <t>table9</t>
        </is>
      </c>
      <c r="C142" s="13" t="inlineStr">
        <is>
          <t>Flory</t>
        </is>
      </c>
      <c r="D142" s="13" t="inlineStr">
        <is>
          <t>temperature_missing</t>
        </is>
      </c>
      <c r="E142" s="13" t="inlineStr">
        <is>
          <t>Temperature Missing/Invalid</t>
        </is>
      </c>
    </row>
    <row r="143">
      <c r="A143" s="13" t="inlineStr">
        <is>
          <t>2024 - Molar Mass Determination for Small and Large Molecules Using Diffusion-Ordered Spectroscopy - SI</t>
        </is>
      </c>
      <c r="B143" s="13" t="inlineStr">
        <is>
          <t>table9</t>
        </is>
      </c>
      <c r="C143" s="13" t="inlineStr">
        <is>
          <t>Flory</t>
        </is>
      </c>
      <c r="D143" s="13" t="inlineStr">
        <is>
          <t>temperature_missing</t>
        </is>
      </c>
      <c r="E143" s="13" t="inlineStr">
        <is>
          <t>Temperature Missing/Invalid</t>
        </is>
      </c>
    </row>
    <row r="144">
      <c r="A144" s="13" t="inlineStr">
        <is>
          <t>2024 - Molar Mass Determination for Small and Large Molecules Using Diffusion-Ordered Spectroscopy - SI</t>
        </is>
      </c>
      <c r="B144" s="13" t="inlineStr">
        <is>
          <t>table9</t>
        </is>
      </c>
      <c r="C144" s="13" t="inlineStr">
        <is>
          <t>Flory</t>
        </is>
      </c>
      <c r="D144" s="13" t="inlineStr">
        <is>
          <t>temperature_missing</t>
        </is>
      </c>
      <c r="E144" s="13" t="inlineStr">
        <is>
          <t>Temperature Missing/Invalid</t>
        </is>
      </c>
    </row>
    <row r="145">
      <c r="A145" s="13" t="inlineStr">
        <is>
          <t>2024 - Molar Mass Determination for Small and Large Molecules Using Diffusion-Ordered Spectroscopy - SI</t>
        </is>
      </c>
      <c r="B145" s="13" t="inlineStr">
        <is>
          <t>table10</t>
        </is>
      </c>
      <c r="C145" s="13" t="inlineStr">
        <is>
          <t>Flory</t>
        </is>
      </c>
      <c r="D145" s="13" t="inlineStr">
        <is>
          <t>temperature_missing</t>
        </is>
      </c>
      <c r="E145" s="13" t="inlineStr">
        <is>
          <t>Temperature Missing/Invalid</t>
        </is>
      </c>
    </row>
    <row r="146">
      <c r="A146" s="13" t="inlineStr">
        <is>
          <t>2024 - Molar Mass Determination for Small and Large Molecules Using Diffusion-Ordered Spectroscopy - SI</t>
        </is>
      </c>
      <c r="B146" s="13" t="inlineStr">
        <is>
          <t>table10</t>
        </is>
      </c>
      <c r="C146" s="13" t="inlineStr">
        <is>
          <t>Flory</t>
        </is>
      </c>
      <c r="D146" s="13" t="inlineStr">
        <is>
          <t>temperature_missing</t>
        </is>
      </c>
      <c r="E146" s="13" t="inlineStr">
        <is>
          <t>Temperature Missing/Invalid</t>
        </is>
      </c>
    </row>
    <row r="147">
      <c r="A147" s="13" t="inlineStr">
        <is>
          <t>2024 - Molar Mass Determination for Small and Large Molecules Using Diffusion-Ordered Spectroscopy - SI</t>
        </is>
      </c>
      <c r="B147" s="13" t="inlineStr">
        <is>
          <t>table10</t>
        </is>
      </c>
      <c r="C147" s="13" t="inlineStr">
        <is>
          <t>Flory</t>
        </is>
      </c>
      <c r="D147" s="13" t="inlineStr">
        <is>
          <t>temperature_missing</t>
        </is>
      </c>
      <c r="E147" s="13" t="inlineStr">
        <is>
          <t>Temperature Missing/Invalid</t>
        </is>
      </c>
    </row>
    <row r="148">
      <c r="A148" s="13" t="inlineStr">
        <is>
          <t>2024 - Molar Mass Determination for Small and Large Molecules Using Diffusion-Ordered Spectroscopy - SI</t>
        </is>
      </c>
      <c r="B148" s="13" t="inlineStr">
        <is>
          <t>table10</t>
        </is>
      </c>
      <c r="C148" s="13" t="inlineStr">
        <is>
          <t>Flory</t>
        </is>
      </c>
      <c r="D148" s="13" t="inlineStr">
        <is>
          <t>temperature_missing</t>
        </is>
      </c>
      <c r="E148" s="13" t="inlineStr">
        <is>
          <t>Temperature Missing/Invalid</t>
        </is>
      </c>
    </row>
    <row r="149">
      <c r="A149" s="13" t="inlineStr">
        <is>
          <t>2024 - Molar Mass Determination for Small and Large Molecules Using Diffusion-Ordered Spectroscopy - SI</t>
        </is>
      </c>
      <c r="B149" s="13" t="inlineStr">
        <is>
          <t>table10</t>
        </is>
      </c>
      <c r="C149" s="13" t="inlineStr">
        <is>
          <t>Flory</t>
        </is>
      </c>
      <c r="D149" s="13" t="inlineStr">
        <is>
          <t>temperature_missing</t>
        </is>
      </c>
      <c r="E149" s="13" t="inlineStr">
        <is>
          <t>Temperature Missing/Invalid</t>
        </is>
      </c>
    </row>
    <row r="150">
      <c r="A150" s="13" t="inlineStr">
        <is>
          <t>2024 - Molar Mass Determination for Small and Large Molecules Using Diffusion-Ordered Spectroscopy - SI</t>
        </is>
      </c>
      <c r="B150" s="13" t="inlineStr">
        <is>
          <t>table10</t>
        </is>
      </c>
      <c r="C150" s="13" t="inlineStr">
        <is>
          <t>Flory</t>
        </is>
      </c>
      <c r="D150" s="13" t="inlineStr">
        <is>
          <t>temperature_missing</t>
        </is>
      </c>
      <c r="E150" s="13" t="inlineStr">
        <is>
          <t>Temperature Missing/Invalid</t>
        </is>
      </c>
    </row>
    <row r="151">
      <c r="A151" s="13" t="inlineStr">
        <is>
          <t>2024 - Molar Mass Determination for Small and Large Molecules Using Diffusion-Ordered Spectroscopy - SI</t>
        </is>
      </c>
      <c r="B151" s="13" t="inlineStr">
        <is>
          <t>table10</t>
        </is>
      </c>
      <c r="C151" s="13" t="inlineStr">
        <is>
          <t>Flory</t>
        </is>
      </c>
      <c r="D151" s="13" t="inlineStr">
        <is>
          <t>temperature_missing</t>
        </is>
      </c>
      <c r="E151" s="13" t="inlineStr">
        <is>
          <t>Temperature Missing/Invalid</t>
        </is>
      </c>
    </row>
    <row r="152">
      <c r="A152" s="13" t="inlineStr">
        <is>
          <t>2024 - Molar Mass Determination for Small and Large Molecules Using Diffusion-Ordered Spectroscopy - SI</t>
        </is>
      </c>
      <c r="B152" s="13" t="inlineStr">
        <is>
          <t>table10</t>
        </is>
      </c>
      <c r="C152" s="13" t="inlineStr">
        <is>
          <t>Flory</t>
        </is>
      </c>
      <c r="D152" s="13" t="inlineStr">
        <is>
          <t>temperature_missing</t>
        </is>
      </c>
      <c r="E152" s="13" t="inlineStr">
        <is>
          <t>Temperature Missing/Invalid</t>
        </is>
      </c>
    </row>
    <row r="153">
      <c r="A153" s="13" t="inlineStr">
        <is>
          <t>2024 - Molar Mass Determination for Small and Large Molecules Using Diffusion-Ordered Spectroscopy - SI</t>
        </is>
      </c>
      <c r="B153" s="13" t="inlineStr">
        <is>
          <t>table10</t>
        </is>
      </c>
      <c r="C153" s="13" t="inlineStr">
        <is>
          <t>Flory</t>
        </is>
      </c>
      <c r="D153" s="13" t="inlineStr">
        <is>
          <t>temperature_missing</t>
        </is>
      </c>
      <c r="E153" s="13" t="inlineStr">
        <is>
          <t>Temperature Missing/Invalid</t>
        </is>
      </c>
    </row>
    <row r="154">
      <c r="A154" s="13" t="inlineStr">
        <is>
          <t>2024 - Molar Mass Determination for Small and Large Molecules Using Diffusion-Ordered Spectroscopy - SI</t>
        </is>
      </c>
      <c r="B154" s="13" t="inlineStr">
        <is>
          <t>table10</t>
        </is>
      </c>
      <c r="C154" s="13" t="inlineStr">
        <is>
          <t>Flory</t>
        </is>
      </c>
      <c r="D154" s="13" t="inlineStr">
        <is>
          <t>temperature_missing</t>
        </is>
      </c>
      <c r="E154" s="13" t="inlineStr">
        <is>
          <t>Temperature Missing/Invalid</t>
        </is>
      </c>
    </row>
    <row r="155">
      <c r="A155" s="13" t="inlineStr">
        <is>
          <t>2024 - Molar Mass Determination for Small and Large Molecules Using Diffusion-Ordered Spectroscopy - SI</t>
        </is>
      </c>
      <c r="B155" s="13" t="inlineStr">
        <is>
          <t>table10</t>
        </is>
      </c>
      <c r="C155" s="13" t="inlineStr">
        <is>
          <t>Flory</t>
        </is>
      </c>
      <c r="D155" s="13" t="inlineStr">
        <is>
          <t>temperature_missing</t>
        </is>
      </c>
      <c r="E155" s="13" t="inlineStr">
        <is>
          <t>Temperature Missing/Invalid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2026-07-29T10:54:08Z</dcterms:created>
  <dcterms:modified xmlns:dcterms="http://purl.org/dc/terms/" xmlns:xsi="http://www.w3.org/2001/XMLSchema-instance" xsi:type="dcterms:W3CDTF">2026-07-29T10:54:08Z</dcterms:modified>
</cp:coreProperties>
</file>