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>
    <definedName name="_xlnm._FilterDatabase" localSheetId="2" hidden="1">'Polymers'!$A$69:$I$147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2026-08-05 16:41:50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2026-07-31 17:39:11</t>
        </is>
      </c>
    </row>
    <row r="7">
      <c r="A7" s="5" t="inlineStr">
        <is>
          <t>Run End Time</t>
        </is>
      </c>
      <c r="B7" s="5" t="inlineStr">
        <is>
          <t>2026-08-05 16:41:50</t>
        </is>
      </c>
    </row>
    <row r="8">
      <c r="A8" s="5" t="inlineStr">
        <is>
          <t>Total Execution Time</t>
        </is>
      </c>
      <c r="B8" s="5" t="inlineStr">
        <is>
          <t>428558.51s</t>
        </is>
      </c>
    </row>
    <row r="9">
      <c r="A9" s="5" t="inlineStr">
        <is>
          <t>Paper Processing Time</t>
        </is>
      </c>
      <c r="B9" s="5" t="inlineStr">
        <is>
          <t>32871.61s</t>
        </is>
      </c>
    </row>
    <row r="10">
      <c r="A10" s="5" t="inlineStr">
        <is>
          <t>Combine Stage Execution Time</t>
        </is>
      </c>
      <c r="B10" s="5" t="inlineStr">
        <is>
          <t>1025.25s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./tests/runs/2026-07-31_17-39-11</t>
        </is>
      </c>
    </row>
    <row r="13">
      <c r="A13" s="5" t="inlineStr">
        <is>
          <t>Total Papers Inputted</t>
        </is>
      </c>
      <c r="B13" s="6" t="inlineStr">
        <is>
          <t>230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node864.csf3.man.alces.network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153</v>
      </c>
    </row>
    <row r="25">
      <c r="A25" s="5" t="inlineStr">
        <is>
          <t>Flory Data Points</t>
        </is>
      </c>
      <c r="B25" s="6" t="n">
        <v>153</v>
      </c>
    </row>
    <row r="26">
      <c r="A26" s="5" t="inlineStr">
        <is>
          <t>Mark-Houwink Data Points</t>
        </is>
      </c>
      <c r="B26" s="6" t="n">
        <v>0</v>
      </c>
    </row>
    <row r="27">
      <c r="A27" s="5" t="inlineStr">
        <is>
          <t>Selected Data Points (Successful)</t>
        </is>
      </c>
      <c r="B27" s="6" t="n">
        <v>78</v>
      </c>
    </row>
    <row r="28">
      <c r="A28" s="5" t="inlineStr">
        <is>
          <t>Deselected Data Points (Rejected)</t>
        </is>
      </c>
      <c r="B28" s="6" t="n">
        <v>75</v>
      </c>
    </row>
    <row r="29">
      <c r="A29" s="5" t="inlineStr">
        <is>
          <t>Issue Level: Deselected (Critical Failures)</t>
        </is>
      </c>
      <c r="B29" s="6" t="n">
        <v>61</v>
      </c>
    </row>
    <row r="30">
      <c r="A30" s="5" t="inlineStr">
        <is>
          <t>Issue Level: Problem (Parameter Errors)</t>
        </is>
      </c>
      <c r="B30" s="6" t="n">
        <v>44</v>
      </c>
    </row>
    <row r="31">
      <c r="A31" s="5" t="inlineStr">
        <is>
          <t>Issue Level: Warning (Minor Warnings)</t>
        </is>
      </c>
      <c r="B31" s="6" t="n">
        <v>153</v>
      </c>
    </row>
    <row r="32">
      <c r="A32" s="5" t="inlineStr">
        <is>
          <t>Overall Success Rate (%)</t>
        </is>
      </c>
      <c r="B32" s="6" t="inlineStr">
        <is>
          <t>51.0%</t>
        </is>
      </c>
    </row>
    <row r="33"/>
    <row r="34">
      <c r="A34" s="3" t="inlineStr">
        <is>
          <t>3. Failure Reasons Breakdown</t>
        </is>
      </c>
    </row>
    <row r="35">
      <c r="A35" s="4" t="inlineStr">
        <is>
          <t>Failure Reason / Field</t>
        </is>
      </c>
      <c r="B35" s="4" t="inlineStr">
        <is>
          <t>Count</t>
        </is>
      </c>
    </row>
    <row r="36">
      <c r="A36" s="5" t="inlineStr">
        <is>
          <t>Temperature Missing/Invalid</t>
        </is>
      </c>
      <c r="B36" s="6" t="n">
        <v>153</v>
      </c>
    </row>
    <row r="37">
      <c r="A37" s="5" t="inlineStr">
        <is>
          <t>Solvent Identification Failure</t>
        </is>
      </c>
      <c r="B37" s="6" t="n">
        <v>34</v>
      </c>
    </row>
    <row r="38">
      <c r="A38" s="5" t="inlineStr">
        <is>
          <t>Polymer Identification Failure</t>
        </is>
      </c>
      <c r="B38" s="6" t="n">
        <v>27</v>
      </c>
    </row>
    <row r="39">
      <c r="A39" s="5" t="inlineStr">
        <is>
          <t>c_value Not Found</t>
        </is>
      </c>
      <c r="B39" s="6" t="n">
        <v>26</v>
      </c>
    </row>
    <row r="40">
      <c r="A40" s="5" t="inlineStr">
        <is>
          <t>D Value Out of Range</t>
        </is>
      </c>
      <c r="B40" s="6" t="n">
        <v>15</v>
      </c>
    </row>
    <row r="41">
      <c r="A41" s="5" t="inlineStr">
        <is>
          <t>v_value Out of Range</t>
        </is>
      </c>
      <c r="B41" s="6" t="n">
        <v>2</v>
      </c>
    </row>
    <row r="42">
      <c r="A42" s="5" t="inlineStr">
        <is>
          <t>v_value Not Found</t>
        </is>
      </c>
      <c r="B42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55</v>
      </c>
      <c r="E17" s="6" t="n">
        <v>0</v>
      </c>
      <c r="F17" s="6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25" customWidth="1" min="4" max="4"/>
    <col width="29" customWidth="1" min="5" max="5"/>
    <col width="250" customWidth="1" min="6" max="6"/>
    <col width="250" customWidth="1" min="7" max="7"/>
    <col width="149" customWidth="1" min="8" max="8"/>
    <col width="14" customWidth="1" min="9" max="9"/>
    <col hidden="1" width="13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/>
    <row r="2">
      <c r="B2" s="7" t="inlineStr">
        <is>
          <t>Interactive Curve Explorer</t>
        </is>
      </c>
      <c r="C2" s="8" t="n"/>
      <c r="E2">
        <f>PY("import matplotlib.pyplot as plt
poly = xl('C3')
solv = xl('C4')
poly_clean = poly.split(' (')[0] if poly and str(poly) != 'All' and not str(poly).startswith('All') else None
solv_clean = solv.split(' (')[0] if solv and str(solv) != 'All' and not str(solv).startswith('All') else None
df = xl('A69:I147', headers=True)
fig, ax = plt.subplots(figsize=(7.5, 5.0), dpi=300)
colors = ['#1f77b4', '#ff7f0e', '#2ca02c', '#d62728', '#9467bd', '#8c564b', '#e377c2', '#7f7f7f', '#bcbd22', '#17becf', '#319795', '#d69e2e', '#805ad5', '#dd6b20', '#3182ce']
valid_count = 0
for idx, row in df.iterrows():
    p = str(row['Polymer (Clean)'])
    s = str(row['Solvent (Clean)'])
    c_val = row['c Value (log Constant)']
    v_val = row['v Value (Scaling Exponent)']
    if poly_clean and p != poly_clean:
        continue
    if solv_clean and s != solv_clean:
        continue
    try:
        c = float(c_val)
        v = float(v_val)
        y3 = c - v * 3
        y6 = c - v * 6
        if poly_clean and not solv_clean:
            label = s
        elif solv_clean and not poly_clean:
            label = p
        else:
            label = f'{p} in {s}'
        color = colors[valid_count % len(colors)]
        ax.plot([3, 6], [y3, y6], label=label, color=color, linewidth=2.0, alpha=0.9)
        valid_count += 1
    except (ValueError, TypeError):
        continue
if valid_count &gt; 0:
    ax.set_title('Flory Calibration Curves (Interactive log-log Plot)', pad=12)
    ax.set_xlabel('log10(M / g mol-1)')
    ax.set_ylabel('log10(D / m2 s-1)')
    ax.set_xticks([3, 4, 5, 6])
    ax.grid(True, linestyle='--', alpha=0.6, color='#cbd5e0')
    ax.spines['top'].set_visible(False)
    ax.spines['right'].set_visible(False)
    ax.legend(bbox_to_anchor=(1.04, 1), loc='upper left', frameon=True, facecolor='#f7fafc', edgecolor='#e2e8f0', fontsize=8.5)
plt.gcf()")</f>
        <v/>
      </c>
      <c r="L2" s="9" t="inlineStr">
        <is>
          <t>All</t>
        </is>
      </c>
      <c r="M2" s="9" t="inlineStr">
        <is>
          <t>All</t>
        </is>
      </c>
      <c r="N2" s="9">
        <f>M2 &amp; " (" &amp; COUNTIFS($A$70:$A$147, IF(OR(LEFT($C$3, 3)="All", $C$3=""), "*", LEFT($C$3, IF(ISNUMBER(SEARCH(" (", $C$3)), SEARCH(" (", $C$3)-1, LEN($C$3))))) &amp; ")"</f>
        <v/>
      </c>
      <c r="O2" s="9">
        <f>L2 &amp; " (" &amp; COUNTIFS($B$70:$B$147, IF(OR(LEFT($C$4, 3)="All", $C$4=""), "*", LEFT($C$4, IF(ISNUMBER(SEARCH(" (", $C$4)), SEARCH(" (", $C$4)-1, LEN($C$4))))) &amp; ")"</f>
        <v/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  <c r="N3" s="9">
        <f>M3 &amp; " (" &amp; COUNTIFS($A$70:$A$147, IF(OR(LEFT($C$3, 3)="All", $C$3=""), "*", LEFT($C$3, IF(ISNUMBER(SEARCH(" (", $C$3)), SEARCH(" (", $C$3)-1, LEN($C$3)))), $B$70:$B$147, M3) &amp; ")"</f>
        <v/>
      </c>
      <c r="O3" s="9">
        <f>L3 &amp; " (" &amp; COUNTIFS($A$70:$A$147, L3, $B$70:$B$147, IF(OR(LEFT($C$4, 3)="All", $C$4=""), "*", LEFT($C$4, IF(ISNUMBER(SEARCH(" (", $C$4)), SEARCH(" (", $C$4)-1, LEN($C$4))))) &amp; ")"</f>
        <v/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  <c r="N4" s="9">
        <f>M4 &amp; " (" &amp; COUNTIFS($A$70:$A$147, IF(OR(LEFT($C$3, 3)="All", $C$3=""), "*", LEFT($C$3, IF(ISNUMBER(SEARCH(" (", $C$3)), SEARCH(" (", $C$3)-1, LEN($C$3)))), $B$70:$B$147, M4) &amp; ")"</f>
        <v/>
      </c>
      <c r="O4" s="9">
        <f>L4 &amp; " (" &amp; COUNTIFS($A$70:$A$147, L4, $B$70:$B$147, IF(OR(LEFT($C$4, 3)="All", $C$4=""), "*", LEFT($C$4, IF(ISNUMBER(SEARCH(" (", $C$4)), SEARCH(" (", $C$4)-1, LEN($C$4))))) &amp; ")"</f>
        <v/>
      </c>
    </row>
    <row r="5">
      <c r="B5" s="10" t="inlineStr">
        <is>
          <t>Active Curves:</t>
        </is>
      </c>
      <c r="C5" s="11">
        <f>COUNTIF(F70:F147, "&lt;&gt;#N/A")</f>
        <v/>
      </c>
      <c r="L5" s="9" t="inlineStr">
        <is>
          <t>poly(butyl acrylate)</t>
        </is>
      </c>
      <c r="M5" s="9" t="inlineStr">
        <is>
          <t>benzene</t>
        </is>
      </c>
      <c r="N5" s="9">
        <f>M5 &amp; " (" &amp; COUNTIFS($A$70:$A$147, IF(OR(LEFT($C$3, 3)="All", $C$3=""), "*", LEFT($C$3, IF(ISNUMBER(SEARCH(" (", $C$3)), SEARCH(" (", $C$3)-1, LEN($C$3)))), $B$70:$B$147, M5) &amp; ")"</f>
        <v/>
      </c>
      <c r="O5" s="9">
        <f>L5 &amp; " (" &amp; COUNTIFS($A$70:$A$147, L5, $B$70:$B$147, IF(OR(LEFT($C$4, 3)="All", $C$4=""), "*", LEFT($C$4, IF(ISNUMBER(SEARCH(" (", $C$4)), SEARCH(" (", $C$4)-1, LEN($C$4))))) &amp; ")"</f>
        <v/>
      </c>
    </row>
    <row r="6">
      <c r="B6" s="10" t="inlineStr">
        <is>
          <t>Matplotlib Plot:</t>
        </is>
      </c>
      <c r="C6" s="12" t="inlineStr">
        <is>
          <t>Generate / Refresh Plot</t>
        </is>
      </c>
      <c r="L6" s="9" t="inlineStr">
        <is>
          <t>poly(ethylene glycol methyl ether methacrylate)</t>
        </is>
      </c>
      <c r="M6" s="9" t="inlineStr">
        <is>
          <t>chloroform-d</t>
        </is>
      </c>
      <c r="N6" s="9">
        <f>M6 &amp; " (" &amp; COUNTIFS($A$70:$A$147, IF(OR(LEFT($C$3, 3)="All", $C$3=""), "*", LEFT($C$3, IF(ISNUMBER(SEARCH(" (", $C$3)), SEARCH(" (", $C$3)-1, LEN($C$3)))), $B$70:$B$147, M6) &amp; ")"</f>
        <v/>
      </c>
      <c r="O6" s="9">
        <f>L6 &amp; " (" &amp; COUNTIFS($A$70:$A$147, L6, $B$70:$B$147, IF(OR(LEFT($C$4, 3)="All", $C$4=""), "*", LEFT($C$4, IF(ISNUMBER(SEARCH(" (", $C$4)), SEARCH(" (", $C$4)-1, LEN($C$4))))) &amp; ")"</f>
        <v/>
      </c>
    </row>
    <row r="7">
      <c r="L7" s="9" t="inlineStr">
        <is>
          <t>poly(ethylene oxide)</t>
        </is>
      </c>
      <c r="M7" s="9" t="inlineStr">
        <is>
          <t>deuterium oxide</t>
        </is>
      </c>
      <c r="N7" s="9">
        <f>M7 &amp; " (" &amp; COUNTIFS($A$70:$A$147, IF(OR(LEFT($C$3, 3)="All", $C$3=""), "*", LEFT($C$3, IF(ISNUMBER(SEARCH(" (", $C$3)), SEARCH(" (", $C$3)-1, LEN($C$3)))), $B$70:$B$147, M7) &amp; ")"</f>
        <v/>
      </c>
      <c r="O7" s="9">
        <f>L7 &amp; " (" &amp; COUNTIFS($A$70:$A$147, L7, $B$70:$B$147, IF(OR(LEFT($C$4, 3)="All", $C$4=""), "*", LEFT($C$4, IF(ISNUMBER(SEARCH(" (", $C$4)), SEARCH(" (", $C$4)-1, LEN($C$4))))) &amp; ")"</f>
        <v/>
      </c>
    </row>
    <row r="8">
      <c r="L8" s="9" t="inlineStr">
        <is>
          <t>poly(methyl methacrylate)</t>
        </is>
      </c>
      <c r="M8" s="9" t="inlineStr">
        <is>
          <t>dichloromethane</t>
        </is>
      </c>
      <c r="N8" s="9">
        <f>M8 &amp; " (" &amp; COUNTIFS($A$70:$A$147, IF(OR(LEFT($C$3, 3)="All", $C$3=""), "*", LEFT($C$3, IF(ISNUMBER(SEARCH(" (", $C$3)), SEARCH(" (", $C$3)-1, LEN($C$3)))), $B$70:$B$147, M8) &amp; ")"</f>
        <v/>
      </c>
      <c r="O8" s="9">
        <f>L8 &amp; " (" &amp; COUNTIFS($A$70:$A$147, L8, $B$70:$B$147, IF(OR(LEFT($C$4, 3)="All", $C$4=""), "*", LEFT($C$4, IF(ISNUMBER(SEARCH(" (", $C$4)), SEARCH(" (", $C$4)-1, LEN($C$4))))) &amp; ")"</f>
        <v/>
      </c>
    </row>
    <row r="9">
      <c r="L9" s="9" t="inlineStr">
        <is>
          <t>polyimide</t>
        </is>
      </c>
      <c r="M9" s="9" t="inlineStr">
        <is>
          <t>dimethyl sulfoxide</t>
        </is>
      </c>
      <c r="N9" s="9">
        <f>M9 &amp; " (" &amp; COUNTIFS($A$70:$A$147, IF(OR(LEFT($C$3, 3)="All", $C$3=""), "*", LEFT($C$3, IF(ISNUMBER(SEARCH(" (", $C$3)), SEARCH(" (", $C$3)-1, LEN($C$3)))), $B$70:$B$147, M9) &amp; ")"</f>
        <v/>
      </c>
      <c r="O9" s="9">
        <f>L9 &amp; " (" &amp; COUNTIFS($A$70:$A$147, L9, $B$70:$B$147, IF(OR(LEFT($C$4, 3)="All", $C$4=""), "*", LEFT($C$4, IF(ISNUMBER(SEARCH(" (", $C$4)), SEARCH(" (", $C$4)-1, LEN($C$4))))) &amp; ")"</f>
        <v/>
      </c>
    </row>
    <row r="10">
      <c r="L10" s="9" t="inlineStr">
        <is>
          <t>polymer_name</t>
        </is>
      </c>
      <c r="M10" s="9" t="inlineStr">
        <is>
          <t>methanol-d4</t>
        </is>
      </c>
      <c r="N10" s="9">
        <f>M10 &amp; " (" &amp; COUNTIFS($A$70:$A$147, IF(OR(LEFT($C$3, 3)="All", $C$3=""), "*", LEFT($C$3, IF(ISNUMBER(SEARCH(" (", $C$3)), SEARCH(" (", $C$3)-1, LEN($C$3)))), $B$70:$B$147, M10) &amp; ")"</f>
        <v/>
      </c>
      <c r="O10" s="9">
        <f>L10 &amp; " (" &amp; COUNTIFS($A$70:$A$147, L10, $B$70:$B$147, IF(OR(LEFT($C$4, 3)="All", $C$4=""), "*", LEFT($C$4, IF(ISNUMBER(SEARCH(" (", $C$4)), SEARCH(" (", $C$4)-1, LEN($C$4))))) &amp; ")"</f>
        <v/>
      </c>
    </row>
    <row r="11">
      <c r="L11" s="9" t="inlineStr">
        <is>
          <t>polystyrene</t>
        </is>
      </c>
      <c r="M11" s="9" t="inlineStr">
        <is>
          <t>poly(ethylene oxide)</t>
        </is>
      </c>
      <c r="N11" s="9">
        <f>M11 &amp; " (" &amp; COUNTIFS($A$70:$A$147, IF(OR(LEFT($C$3, 3)="All", $C$3=""), "*", LEFT($C$3, IF(ISNUMBER(SEARCH(" (", $C$3)), SEARCH(" (", $C$3)-1, LEN($C$3)))), $B$70:$B$147, M11) &amp; ")"</f>
        <v/>
      </c>
      <c r="O11" s="9">
        <f>L11 &amp; " (" &amp; COUNTIFS($A$70:$A$147, L11, $B$70:$B$147, IF(OR(LEFT($C$4, 3)="All", $C$4=""), "*", LEFT($C$4, IF(ISNUMBER(SEARCH(" (", $C$4)), SEARCH(" (", $C$4)-1, LEN($C$4))))) &amp; ")"</f>
        <v/>
      </c>
    </row>
    <row r="12">
      <c r="L12" s="9" t="inlineStr">
        <is>
          <t>pullulan</t>
        </is>
      </c>
      <c r="M12" s="9" t="inlineStr">
        <is>
          <t>tetrahydrofuran</t>
        </is>
      </c>
      <c r="N12" s="9">
        <f>M12 &amp; " (" &amp; COUNTIFS($A$70:$A$147, IF(OR(LEFT($C$3, 3)="All", $C$3=""), "*", LEFT($C$3, IF(ISNUMBER(SEARCH(" (", $C$3)), SEARCH(" (", $C$3)-1, LEN($C$3)))), $B$70:$B$147, M12) &amp; ")"</f>
        <v/>
      </c>
      <c r="O12" s="9">
        <f>L12 &amp; " (" &amp; COUNTIFS($A$70:$A$147, L12, $B$70:$B$147, IF(OR(LEFT($C$4, 3)="All", $C$4=""), "*", LEFT($C$4, IF(ISNUMBER(SEARCH(" (", $C$4)), SEARCH(" (", $C$4)-1, LEN($C$4))))) &amp; ")"</f>
        <v/>
      </c>
    </row>
    <row r="13">
      <c r="M13" s="9" t="inlineStr">
        <is>
          <t>toluene</t>
        </is>
      </c>
      <c r="N13" s="9">
        <f>M13 &amp; " (" &amp; COUNTIFS($A$70:$A$147, IF(OR(LEFT($C$3, 3)="All", $C$3=""), "*", LEFT($C$3, IF(ISNUMBER(SEARCH(" (", $C$3)), SEARCH(" (", $C$3)-1, LEN($C$3)))), $B$70:$B$147, M13) &amp; ")"</f>
        <v/>
      </c>
    </row>
    <row r="14">
      <c r="M14" s="9" t="inlineStr">
        <is>
          <t>water</t>
        </is>
      </c>
      <c r="N14" s="9">
        <f>M14 &amp; " (" &amp; COUNTIFS($A$70:$A$147, IF(OR(LEFT($C$3, 3)="All", $C$3=""), "*", LEFT($C$3, IF(ISNUMBER(SEARCH(" (", $C$3)), SEARCH(" (", $C$3)-1, LEN($C$3)))), $B$70:$B$147, M14) &amp; ")"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4" t="inlineStr">
        <is>
          <t>Polymer (Clean)</t>
        </is>
      </c>
      <c r="B69" s="4" t="inlineStr">
        <is>
          <t>Solvent (Clean)</t>
        </is>
      </c>
      <c r="C69" s="4" t="inlineStr">
        <is>
          <t>Temperature (K)</t>
        </is>
      </c>
      <c r="D69" s="4" t="inlineStr">
        <is>
          <t>c Value (log Constant)</t>
        </is>
      </c>
      <c r="E69" s="4" t="inlineStr">
        <is>
          <t>v Value (Scaling Exponent)</t>
        </is>
      </c>
      <c r="F69" s="4" t="n">
        <v>3</v>
      </c>
      <c r="G69" s="4" t="n">
        <v>6</v>
      </c>
      <c r="H69" s="4" t="inlineStr">
        <is>
          <t>Source Paper</t>
        </is>
      </c>
      <c r="I69" s="4" t="inlineStr">
        <is>
          <t>Table</t>
        </is>
      </c>
    </row>
    <row r="70">
      <c r="A70" s="5" t="inlineStr">
        <is>
          <t>dextran</t>
        </is>
      </c>
      <c r="B70" s="5" t="inlineStr">
        <is>
          <t>deuterium oxide</t>
        </is>
      </c>
      <c r="C70" s="6" t="inlineStr">
        <is>
          <t>Not found</t>
        </is>
      </c>
      <c r="D70" s="6" t="n">
        <v>-8.140000000000001</v>
      </c>
      <c r="E70" s="6" t="n">
        <v>0.47</v>
      </c>
      <c r="F70" s="6">
        <f>IF(AND(OR(LEFT($C$3, 3)="All", $C$3="", $C$3=A70, AND(LEFT($C$3, LEN(A70))=A70, MID($C$3, LEN(A70)+1, 2)=" (")), OR(LEFT($C$4, 3)="All", $C$4="", $C$4=B70, AND(LEFT($C$4, LEN(B70))=B70, MID($C$4, LEN(B70)+1, 2)=" ("))), D70-E70*3, NA())</f>
        <v/>
      </c>
      <c r="G70" s="6">
        <f>IF(AND(OR(LEFT($C$3, 3)="All", $C$3="", $C$3=A70, AND(LEFT($C$3, LEN(A70))=A70, MID($C$3, LEN(A70)+1, 2)=" (")), OR(LEFT($C$4, 3)="All", $C$4="", $C$4=B70, AND(LEFT($C$4, LEN(B70))=B70, MID($C$4, LEN(B70)+1, 2)=" ("))), D70-E70*6, NA())</f>
        <v/>
      </c>
      <c r="H70" s="5" t="inlineStr">
        <is>
          <t>2021 - Solvent‐Independent Molecular Weight Determination of Polymers Based on a Truly  Universal Calibration</t>
        </is>
      </c>
      <c r="I70" s="5" t="inlineStr">
        <is>
          <t>table1</t>
        </is>
      </c>
    </row>
    <row r="71">
      <c r="A71" s="5" t="inlineStr">
        <is>
          <t>poly(2-vinylpyridine)</t>
        </is>
      </c>
      <c r="B71" s="5" t="inlineStr">
        <is>
          <t>benzene</t>
        </is>
      </c>
      <c r="C71" s="6" t="inlineStr">
        <is>
          <t>Not found</t>
        </is>
      </c>
      <c r="D71" s="6" t="n">
        <v>-7.903646240006705</v>
      </c>
      <c r="E71" s="6" t="n">
        <v>0.48883</v>
      </c>
      <c r="F71" s="6">
        <f>IF(AND(OR(LEFT($C$3, 3)="All", $C$3="", $C$3=A71, AND(LEFT($C$3, LEN(A71))=A71, MID($C$3, LEN(A71)+1, 2)=" (")), OR(LEFT($C$4, 3)="All", $C$4="", $C$4=B71, AND(LEFT($C$4, LEN(B71))=B71, MID($C$4, LEN(B71)+1, 2)=" ("))), D71-E71*3, NA())</f>
        <v/>
      </c>
      <c r="G71" s="6">
        <f>IF(AND(OR(LEFT($C$3, 3)="All", $C$3="", $C$3=A71, AND(LEFT($C$3, LEN(A71))=A71, MID($C$3, LEN(A71)+1, 2)=" (")), OR(LEFT($C$4, 3)="All", $C$4="", $C$4=B71, AND(LEFT($C$4, LEN(B71))=B71, MID($C$4, LEN(B71)+1, 2)=" ("))), D71-E71*6, NA())</f>
        <v/>
      </c>
      <c r="H71" s="5" t="inlineStr">
        <is>
          <t>2024 - Molar Mass Determination for Small and Large Molecules Using Diffusion-Ordered Spectroscopy - SI</t>
        </is>
      </c>
      <c r="I71" s="5" t="inlineStr">
        <is>
          <t>table8</t>
        </is>
      </c>
    </row>
    <row r="72">
      <c r="A72" s="5" t="inlineStr">
        <is>
          <t>poly(2-vinylpyridine)</t>
        </is>
      </c>
      <c r="B72" s="5" t="inlineStr">
        <is>
          <t>chloroform-d</t>
        </is>
      </c>
      <c r="C72" s="6" t="inlineStr">
        <is>
          <t>Not found</t>
        </is>
      </c>
      <c r="D72" s="6" t="n">
        <v>-7.577590743390301</v>
      </c>
      <c r="E72" s="6" t="n">
        <v>0.48883</v>
      </c>
      <c r="F72" s="6">
        <f>IF(AND(OR(LEFT($C$3, 3)="All", $C$3="", $C$3=A72, AND(LEFT($C$3, LEN(A72))=A72, MID($C$3, LEN(A72)+1, 2)=" (")), OR(LEFT($C$4, 3)="All", $C$4="", $C$4=B72, AND(LEFT($C$4, LEN(B72))=B72, MID($C$4, LEN(B72)+1, 2)=" ("))), D72-E72*3, NA())</f>
        <v/>
      </c>
      <c r="G72" s="6">
        <f>IF(AND(OR(LEFT($C$3, 3)="All", $C$3="", $C$3=A72, AND(LEFT($C$3, LEN(A72))=A72, MID($C$3, LEN(A72)+1, 2)=" (")), OR(LEFT($C$4, 3)="All", $C$4="", $C$4=B72, AND(LEFT($C$4, LEN(B72))=B72, MID($C$4, LEN(B72)+1, 2)=" ("))), D72-E72*6, NA())</f>
        <v/>
      </c>
      <c r="H72" s="5" t="inlineStr">
        <is>
          <t>2024 - Molar Mass Determination for Small and Large Molecules Using Diffusion-Ordered Spectroscopy - SI</t>
        </is>
      </c>
      <c r="I72" s="5" t="inlineStr">
        <is>
          <t>table8</t>
        </is>
      </c>
    </row>
    <row r="73">
      <c r="A73" s="5" t="inlineStr">
        <is>
          <t>poly(2-vinylpyridine)</t>
        </is>
      </c>
      <c r="B73" s="5" t="inlineStr">
        <is>
          <t>dichloromethane</t>
        </is>
      </c>
      <c r="C73" s="6" t="inlineStr">
        <is>
          <t>Not found</t>
        </is>
      </c>
      <c r="D73" s="6" t="n">
        <v>-7.947113764743619</v>
      </c>
      <c r="E73" s="6" t="n">
        <v>0.53396</v>
      </c>
      <c r="F73" s="6">
        <f>IF(AND(OR(LEFT($C$3, 3)="All", $C$3="", $C$3=A73, AND(LEFT($C$3, LEN(A73))=A73, MID($C$3, LEN(A73)+1, 2)=" (")), OR(LEFT($C$4, 3)="All", $C$4="", $C$4=B73, AND(LEFT($C$4, LEN(B73))=B73, MID($C$4, LEN(B73)+1, 2)=" ("))), D73-E73*3, NA())</f>
        <v/>
      </c>
      <c r="G73" s="6">
        <f>IF(AND(OR(LEFT($C$3, 3)="All", $C$3="", $C$3=A73, AND(LEFT($C$3, LEN(A73))=A73, MID($C$3, LEN(A73)+1, 2)=" (")), OR(LEFT($C$4, 3)="All", $C$4="", $C$4=B73, AND(LEFT($C$4, LEN(B73))=B73, MID($C$4, LEN(B73)+1, 2)=" ("))), D73-E73*6, NA())</f>
        <v/>
      </c>
      <c r="H73" s="5" t="inlineStr">
        <is>
          <t>2024 - Molar Mass Determination for Small and Large Molecules Using Diffusion-Ordered Spectroscopy - SI</t>
        </is>
      </c>
      <c r="I73" s="5" t="inlineStr">
        <is>
          <t>table8</t>
        </is>
      </c>
    </row>
    <row r="74">
      <c r="A74" s="5" t="inlineStr">
        <is>
          <t>poly(2-vinylpyridine)</t>
        </is>
      </c>
      <c r="B74" s="5" t="inlineStr">
        <is>
          <t>tetrahydrofuran</t>
        </is>
      </c>
      <c r="C74" s="6" t="inlineStr">
        <is>
          <t>Not found</t>
        </is>
      </c>
      <c r="D74" s="6" t="n">
        <v>-7.739952475004678</v>
      </c>
      <c r="E74" s="6" t="n">
        <v>0.5049</v>
      </c>
      <c r="F74" s="6">
        <f>IF(AND(OR(LEFT($C$3, 3)="All", $C$3="", $C$3=A74, AND(LEFT($C$3, LEN(A74))=A74, MID($C$3, LEN(A74)+1, 2)=" (")), OR(LEFT($C$4, 3)="All", $C$4="", $C$4=B74, AND(LEFT($C$4, LEN(B74))=B74, MID($C$4, LEN(B74)+1, 2)=" ("))), D74-E74*3, NA())</f>
        <v/>
      </c>
      <c r="G74" s="6">
        <f>IF(AND(OR(LEFT($C$3, 3)="All", $C$3="", $C$3=A74, AND(LEFT($C$3, LEN(A74))=A74, MID($C$3, LEN(A74)+1, 2)=" (")), OR(LEFT($C$4, 3)="All", $C$4="", $C$4=B74, AND(LEFT($C$4, LEN(B74))=B74, MID($C$4, LEN(B74)+1, 2)=" ("))), D74-E74*6, NA())</f>
        <v/>
      </c>
      <c r="H74" s="5" t="inlineStr">
        <is>
          <t>2024 - Molar Mass Determination for Small and Large Molecules Using Diffusion-Ordered Spectroscopy - SI</t>
        </is>
      </c>
      <c r="I74" s="5" t="inlineStr">
        <is>
          <t>table8</t>
        </is>
      </c>
    </row>
    <row r="75">
      <c r="A75" s="5" t="inlineStr">
        <is>
          <t>poly(butyl acrylate)</t>
        </is>
      </c>
      <c r="B75" s="5" t="inlineStr">
        <is>
          <t>acetone</t>
        </is>
      </c>
      <c r="C75" s="6" t="inlineStr">
        <is>
          <t>Not found</t>
        </is>
      </c>
      <c r="D75" s="6" t="n">
        <v>-7.56</v>
      </c>
      <c r="E75" s="6" t="n">
        <v>0.5</v>
      </c>
      <c r="F75" s="6">
        <f>IF(AND(OR(LEFT($C$3, 3)="All", $C$3="", $C$3=A75, AND(LEFT($C$3, LEN(A75))=A75, MID($C$3, LEN(A75)+1, 2)=" (")), OR(LEFT($C$4, 3)="All", $C$4="", $C$4=B75, AND(LEFT($C$4, LEN(B75))=B75, MID($C$4, LEN(B75)+1, 2)=" ("))), D75-E75*3, NA())</f>
        <v/>
      </c>
      <c r="G75" s="6">
        <f>IF(AND(OR(LEFT($C$3, 3)="All", $C$3="", $C$3=A75, AND(LEFT($C$3, LEN(A75))=A75, MID($C$3, LEN(A75)+1, 2)=" (")), OR(LEFT($C$4, 3)="All", $C$4="", $C$4=B75, AND(LEFT($C$4, LEN(B75))=B75, MID($C$4, LEN(B75)+1, 2)=" ("))), D75-E75*6, NA())</f>
        <v/>
      </c>
      <c r="H75" s="5" t="inlineStr">
        <is>
          <t>2023 - A fast and efficient way of obtaining the average molecular weight of block copolymers via DOSY</t>
        </is>
      </c>
      <c r="I75" s="5" t="inlineStr">
        <is>
          <t>table3</t>
        </is>
      </c>
    </row>
    <row r="76">
      <c r="A76" s="5" t="inlineStr">
        <is>
          <t>poly(butyl acrylate)</t>
        </is>
      </c>
      <c r="B76" s="5" t="inlineStr">
        <is>
          <t>benzene</t>
        </is>
      </c>
      <c r="C76" s="6" t="inlineStr">
        <is>
          <t>Not found</t>
        </is>
      </c>
      <c r="D76" s="6" t="n">
        <v>-7.83</v>
      </c>
      <c r="E76" s="6" t="n">
        <v>0.51</v>
      </c>
      <c r="F76" s="6">
        <f>IF(AND(OR(LEFT($C$3, 3)="All", $C$3="", $C$3=A76, AND(LEFT($C$3, LEN(A76))=A76, MID($C$3, LEN(A76)+1, 2)=" (")), OR(LEFT($C$4, 3)="All", $C$4="", $C$4=B76, AND(LEFT($C$4, LEN(B76))=B76, MID($C$4, LEN(B76)+1, 2)=" ("))), D76-E76*3, NA())</f>
        <v/>
      </c>
      <c r="G76" s="6">
        <f>IF(AND(OR(LEFT($C$3, 3)="All", $C$3="", $C$3=A76, AND(LEFT($C$3, LEN(A76))=A76, MID($C$3, LEN(A76)+1, 2)=" (")), OR(LEFT($C$4, 3)="All", $C$4="", $C$4=B76, AND(LEFT($C$4, LEN(B76))=B76, MID($C$4, LEN(B76)+1, 2)=" ("))), D76-E76*6, NA())</f>
        <v/>
      </c>
      <c r="H76" s="5" t="inlineStr">
        <is>
          <t>2023 - A fast and efficient way of obtaining the average molecular weight of block copolymers via DOSY</t>
        </is>
      </c>
      <c r="I76" s="5" t="inlineStr">
        <is>
          <t>table3</t>
        </is>
      </c>
    </row>
    <row r="77">
      <c r="A77" s="5" t="inlineStr">
        <is>
          <t>poly(ethylene glycol methyl ether methacrylate)</t>
        </is>
      </c>
      <c r="B77" s="5" t="inlineStr">
        <is>
          <t>acetone</t>
        </is>
      </c>
      <c r="C77" s="6" t="inlineStr">
        <is>
          <t>Not found</t>
        </is>
      </c>
      <c r="D77" s="6" t="n">
        <v>-8.01</v>
      </c>
      <c r="E77" s="6" t="n">
        <v>0.39</v>
      </c>
      <c r="F77" s="6">
        <f>IF(AND(OR(LEFT($C$3, 3)="All", $C$3="", $C$3=A77, AND(LEFT($C$3, LEN(A77))=A77, MID($C$3, LEN(A77)+1, 2)=" (")), OR(LEFT($C$4, 3)="All", $C$4="", $C$4=B77, AND(LEFT($C$4, LEN(B77))=B77, MID($C$4, LEN(B77)+1, 2)=" ("))), D77-E77*3, NA())</f>
        <v/>
      </c>
      <c r="G77" s="6">
        <f>IF(AND(OR(LEFT($C$3, 3)="All", $C$3="", $C$3=A77, AND(LEFT($C$3, LEN(A77))=A77, MID($C$3, LEN(A77)+1, 2)=" (")), OR(LEFT($C$4, 3)="All", $C$4="", $C$4=B77, AND(LEFT($C$4, LEN(B77))=B77, MID($C$4, LEN(B77)+1, 2)=" ("))), D77-E77*6, NA())</f>
        <v/>
      </c>
      <c r="H77" s="5" t="inlineStr">
        <is>
          <t>2023 - A fast and efficient way of obtaining the average molecular weight of block copolymers via DOSY</t>
        </is>
      </c>
      <c r="I77" s="5" t="inlineStr">
        <is>
          <t>table6</t>
        </is>
      </c>
    </row>
    <row r="78">
      <c r="A78" s="5" t="inlineStr">
        <is>
          <t>poly(ethylene glycol methyl ether methacrylate)</t>
        </is>
      </c>
      <c r="B78" s="5" t="inlineStr">
        <is>
          <t>water</t>
        </is>
      </c>
      <c r="C78" s="6" t="inlineStr">
        <is>
          <t>Not found</t>
        </is>
      </c>
      <c r="D78" s="6" t="n">
        <v>-8.31</v>
      </c>
      <c r="E78" s="6" t="n">
        <v>0.47</v>
      </c>
      <c r="F78" s="6">
        <f>IF(AND(OR(LEFT($C$3, 3)="All", $C$3="", $C$3=A78, AND(LEFT($C$3, LEN(A78))=A78, MID($C$3, LEN(A78)+1, 2)=" (")), OR(LEFT($C$4, 3)="All", $C$4="", $C$4=B78, AND(LEFT($C$4, LEN(B78))=B78, MID($C$4, LEN(B78)+1, 2)=" ("))), D78-E78*3, NA())</f>
        <v/>
      </c>
      <c r="G78" s="6">
        <f>IF(AND(OR(LEFT($C$3, 3)="All", $C$3="", $C$3=A78, AND(LEFT($C$3, LEN(A78))=A78, MID($C$3, LEN(A78)+1, 2)=" (")), OR(LEFT($C$4, 3)="All", $C$4="", $C$4=B78, AND(LEFT($C$4, LEN(B78))=B78, MID($C$4, LEN(B78)+1, 2)=" ("))), D78-E78*6, NA())</f>
        <v/>
      </c>
      <c r="H78" s="5" t="inlineStr">
        <is>
          <t>2023 - A fast and efficient way of obtaining the average molecular weight of block copolymers via DOSY</t>
        </is>
      </c>
      <c r="I78" s="5" t="inlineStr">
        <is>
          <t>table6</t>
        </is>
      </c>
    </row>
    <row r="79">
      <c r="A79" s="5" t="inlineStr">
        <is>
          <t>poly(ethylene oxide)</t>
        </is>
      </c>
      <c r="B79" s="5" t="inlineStr">
        <is>
          <t>acetone</t>
        </is>
      </c>
      <c r="C79" s="6" t="inlineStr">
        <is>
          <t>Not found</t>
        </is>
      </c>
      <c r="D79" s="6" t="n">
        <v>-7.94</v>
      </c>
      <c r="E79" s="6" t="n">
        <v>0.41</v>
      </c>
      <c r="F79" s="6">
        <f>IF(AND(OR(LEFT($C$3, 3)="All", $C$3="", $C$3=A79, AND(LEFT($C$3, LEN(A79))=A79, MID($C$3, LEN(A79)+1, 2)=" (")), OR(LEFT($C$4, 3)="All", $C$4="", $C$4=B79, AND(LEFT($C$4, LEN(B79))=B79, MID($C$4, LEN(B79)+1, 2)=" ("))), D79-E79*3, NA())</f>
        <v/>
      </c>
      <c r="G79" s="6">
        <f>IF(AND(OR(LEFT($C$3, 3)="All", $C$3="", $C$3=A79, AND(LEFT($C$3, LEN(A79))=A79, MID($C$3, LEN(A79)+1, 2)=" (")), OR(LEFT($C$4, 3)="All", $C$4="", $C$4=B79, AND(LEFT($C$4, LEN(B79))=B79, MID($C$4, LEN(B79)+1, 2)=" ("))), D79-E79*6, NA())</f>
        <v/>
      </c>
      <c r="H79" s="5" t="inlineStr">
        <is>
          <t>2021 - Solvent‐Independent Molecular Weight Determination of Polymers Based on a Truly  Universal Calibration</t>
        </is>
      </c>
      <c r="I79" s="5" t="inlineStr">
        <is>
          <t>table3</t>
        </is>
      </c>
    </row>
    <row r="80">
      <c r="A80" s="5" t="inlineStr">
        <is>
          <t>poly(ethylene oxide)</t>
        </is>
      </c>
      <c r="B80" s="5" t="inlineStr">
        <is>
          <t>acetone</t>
        </is>
      </c>
      <c r="C80" s="6" t="inlineStr">
        <is>
          <t>Not found</t>
        </is>
      </c>
      <c r="D80" s="6" t="n">
        <v>-7.673502333065918</v>
      </c>
      <c r="E80" s="6" t="n">
        <v>0.474477</v>
      </c>
      <c r="F80" s="6">
        <f>IF(AND(OR(LEFT($C$3, 3)="All", $C$3="", $C$3=A80, AND(LEFT($C$3, LEN(A80))=A80, MID($C$3, LEN(A80)+1, 2)=" (")), OR(LEFT($C$4, 3)="All", $C$4="", $C$4=B80, AND(LEFT($C$4, LEN(B80))=B80, MID($C$4, LEN(B80)+1, 2)=" ("))), D80-E80*3, NA())</f>
        <v/>
      </c>
      <c r="G80" s="6">
        <f>IF(AND(OR(LEFT($C$3, 3)="All", $C$3="", $C$3=A80, AND(LEFT($C$3, LEN(A80))=A80, MID($C$3, LEN(A80)+1, 2)=" (")), OR(LEFT($C$4, 3)="All", $C$4="", $C$4=B80, AND(LEFT($C$4, LEN(B80))=B80, MID($C$4, LEN(B80)+1, 2)=" ("))), D80-E80*6, NA())</f>
        <v/>
      </c>
      <c r="H80" s="5" t="inlineStr">
        <is>
          <t>2023 - The Universal Calibration for Structure- and Solvent-Independent Molar Mass Determinations of Polymers Using Diffusion-Ordered Spectroscopy</t>
        </is>
      </c>
      <c r="I80" s="5" t="inlineStr">
        <is>
          <t>table1</t>
        </is>
      </c>
    </row>
    <row r="81">
      <c r="A81" s="5" t="inlineStr">
        <is>
          <t>poly(ethylene oxide)</t>
        </is>
      </c>
      <c r="B81" s="5" t="inlineStr">
        <is>
          <t>acetone</t>
        </is>
      </c>
      <c r="C81" s="6" t="inlineStr">
        <is>
          <t>Not found</t>
        </is>
      </c>
      <c r="D81" s="6" t="n">
        <v>-7.673500285274963</v>
      </c>
      <c r="E81" s="6" t="n">
        <v>0.47448</v>
      </c>
      <c r="F81" s="6">
        <f>IF(AND(OR(LEFT($C$3, 3)="All", $C$3="", $C$3=A81, AND(LEFT($C$3, LEN(A81))=A81, MID($C$3, LEN(A81)+1, 2)=" (")), OR(LEFT($C$4, 3)="All", $C$4="", $C$4=B81, AND(LEFT($C$4, LEN(B81))=B81, MID($C$4, LEN(B81)+1, 2)=" ("))), D81-E81*3, NA())</f>
        <v/>
      </c>
      <c r="G81" s="6">
        <f>IF(AND(OR(LEFT($C$3, 3)="All", $C$3="", $C$3=A81, AND(LEFT($C$3, LEN(A81))=A81, MID($C$3, LEN(A81)+1, 2)=" (")), OR(LEFT($C$4, 3)="All", $C$4="", $C$4=B81, AND(LEFT($C$4, LEN(B81))=B81, MID($C$4, LEN(B81)+1, 2)=" ("))), D81-E81*6, NA())</f>
        <v/>
      </c>
      <c r="H81" s="5" t="inlineStr">
        <is>
          <t>2024 - Molar Mass Determination for Small and Large Molecules Using Diffusion-Ordered Spectroscopy - SI</t>
        </is>
      </c>
      <c r="I81" s="5" t="inlineStr">
        <is>
          <t>table9</t>
        </is>
      </c>
    </row>
    <row r="82">
      <c r="A82" s="5" t="inlineStr">
        <is>
          <t>poly(ethylene oxide)</t>
        </is>
      </c>
      <c r="B82" s="5" t="inlineStr">
        <is>
          <t>acetonitrile-d3</t>
        </is>
      </c>
      <c r="C82" s="6" t="inlineStr">
        <is>
          <t>Not found</t>
        </is>
      </c>
      <c r="D82" s="6" t="n">
        <v>-7.88</v>
      </c>
      <c r="E82" s="6" t="n">
        <v>0.44</v>
      </c>
      <c r="F82" s="6">
        <f>IF(AND(OR(LEFT($C$3, 3)="All", $C$3="", $C$3=A82, AND(LEFT($C$3, LEN(A82))=A82, MID($C$3, LEN(A82)+1, 2)=" (")), OR(LEFT($C$4, 3)="All", $C$4="", $C$4=B82, AND(LEFT($C$4, LEN(B82))=B82, MID($C$4, LEN(B82)+1, 2)=" ("))), D82-E82*3, NA())</f>
        <v/>
      </c>
      <c r="G82" s="6">
        <f>IF(AND(OR(LEFT($C$3, 3)="All", $C$3="", $C$3=A82, AND(LEFT($C$3, LEN(A82))=A82, MID($C$3, LEN(A82)+1, 2)=" (")), OR(LEFT($C$4, 3)="All", $C$4="", $C$4=B82, AND(LEFT($C$4, LEN(B82))=B82, MID($C$4, LEN(B82)+1, 2)=" ("))), D82-E82*6, NA())</f>
        <v/>
      </c>
      <c r="H82" s="5" t="inlineStr">
        <is>
          <t>2021 - Solvent‐Independent Molecular Weight Determination of Polymers Based on a Truly  Universal Calibration</t>
        </is>
      </c>
      <c r="I82" s="5" t="inlineStr">
        <is>
          <t>table3</t>
        </is>
      </c>
    </row>
    <row r="83">
      <c r="A83" s="5" t="inlineStr">
        <is>
          <t>poly(ethylene oxide)</t>
        </is>
      </c>
      <c r="B83" s="5" t="inlineStr">
        <is>
          <t>acetonitrile-d3</t>
        </is>
      </c>
      <c r="C83" s="6" t="inlineStr">
        <is>
          <t>Not found</t>
        </is>
      </c>
      <c r="D83" s="6" t="n">
        <v>-7.590203777049215</v>
      </c>
      <c r="E83" s="6" t="n">
        <v>0.515853</v>
      </c>
      <c r="F83" s="6">
        <f>IF(AND(OR(LEFT($C$3, 3)="All", $C$3="", $C$3=A83, AND(LEFT($C$3, LEN(A83))=A83, MID($C$3, LEN(A83)+1, 2)=" (")), OR(LEFT($C$4, 3)="All", $C$4="", $C$4=B83, AND(LEFT($C$4, LEN(B83))=B83, MID($C$4, LEN(B83)+1, 2)=" ("))), D83-E83*3, NA())</f>
        <v/>
      </c>
      <c r="G83" s="6">
        <f>IF(AND(OR(LEFT($C$3, 3)="All", $C$3="", $C$3=A83, AND(LEFT($C$3, LEN(A83))=A83, MID($C$3, LEN(A83)+1, 2)=" (")), OR(LEFT($C$4, 3)="All", $C$4="", $C$4=B83, AND(LEFT($C$4, LEN(B83))=B83, MID($C$4, LEN(B83)+1, 2)=" ("))), D83-E83*6, NA())</f>
        <v/>
      </c>
      <c r="H83" s="5" t="inlineStr">
        <is>
          <t>2023 - The Universal Calibration for Structure- and Solvent-Independent Molar Mass Determinations of Polymers Using Diffusion-Ordered Spectroscopy</t>
        </is>
      </c>
      <c r="I83" s="5" t="inlineStr">
        <is>
          <t>table1</t>
        </is>
      </c>
    </row>
    <row r="84">
      <c r="A84" s="5" t="inlineStr">
        <is>
          <t>poly(ethylene oxide)</t>
        </is>
      </c>
      <c r="B84" s="5" t="inlineStr">
        <is>
          <t>acetonitrile-d3</t>
        </is>
      </c>
      <c r="C84" s="6" t="inlineStr">
        <is>
          <t>Not found</t>
        </is>
      </c>
      <c r="D84" s="6" t="n">
        <v>-7.281913705216908</v>
      </c>
      <c r="E84" s="6" t="n">
        <v>0.59613</v>
      </c>
      <c r="F84" s="6">
        <f>IF(AND(OR(LEFT($C$3, 3)="All", $C$3="", $C$3=A84, AND(LEFT($C$3, LEN(A84))=A84, MID($C$3, LEN(A84)+1, 2)=" (")), OR(LEFT($C$4, 3)="All", $C$4="", $C$4=B84, AND(LEFT($C$4, LEN(B84))=B84, MID($C$4, LEN(B84)+1, 2)=" ("))), D84-E84*3, NA())</f>
        <v/>
      </c>
      <c r="G84" s="6">
        <f>IF(AND(OR(LEFT($C$3, 3)="All", $C$3="", $C$3=A84, AND(LEFT($C$3, LEN(A84))=A84, MID($C$3, LEN(A84)+1, 2)=" (")), OR(LEFT($C$4, 3)="All", $C$4="", $C$4=B84, AND(LEFT($C$4, LEN(B84))=B84, MID($C$4, LEN(B84)+1, 2)=" ("))), D84-E84*6, NA())</f>
        <v/>
      </c>
      <c r="H84" s="5" t="inlineStr">
        <is>
          <t>2024 - Molar Mass Determination for Small and Large Molecules Using Diffusion-Ordered Spectroscopy - SI</t>
        </is>
      </c>
      <c r="I84" s="5" t="inlineStr">
        <is>
          <t>table9</t>
        </is>
      </c>
    </row>
    <row r="85">
      <c r="A85" s="5" t="inlineStr">
        <is>
          <t>poly(ethylene oxide)</t>
        </is>
      </c>
      <c r="B85" s="5" t="inlineStr">
        <is>
          <t>deuterium oxide</t>
        </is>
      </c>
      <c r="C85" s="6" t="inlineStr">
        <is>
          <t>Not found</t>
        </is>
      </c>
      <c r="D85" s="6" t="n">
        <v>-7.62</v>
      </c>
      <c r="E85" s="6" t="n">
        <v>0.62</v>
      </c>
      <c r="F85" s="6">
        <f>IF(AND(OR(LEFT($C$3, 3)="All", $C$3="", $C$3=A85, AND(LEFT($C$3, LEN(A85))=A85, MID($C$3, LEN(A85)+1, 2)=" (")), OR(LEFT($C$4, 3)="All", $C$4="", $C$4=B85, AND(LEFT($C$4, LEN(B85))=B85, MID($C$4, LEN(B85)+1, 2)=" ("))), D85-E85*3, NA())</f>
        <v/>
      </c>
      <c r="G85" s="6">
        <f>IF(AND(OR(LEFT($C$3, 3)="All", $C$3="", $C$3=A85, AND(LEFT($C$3, LEN(A85))=A85, MID($C$3, LEN(A85)+1, 2)=" (")), OR(LEFT($C$4, 3)="All", $C$4="", $C$4=B85, AND(LEFT($C$4, LEN(B85))=B85, MID($C$4, LEN(B85)+1, 2)=" ("))), D85-E85*6, NA())</f>
        <v/>
      </c>
      <c r="H85" s="5" t="inlineStr">
        <is>
          <t>1995 - Determination of Molecular Weight Distributions for Polymers by diffusion NMR</t>
        </is>
      </c>
      <c r="I85" s="5" t="inlineStr">
        <is>
          <t>table2</t>
        </is>
      </c>
    </row>
    <row r="86">
      <c r="A86" s="5" t="inlineStr">
        <is>
          <t>poly(ethylene oxide)</t>
        </is>
      </c>
      <c r="B86" s="5" t="inlineStr">
        <is>
          <t>deuterium oxide</t>
        </is>
      </c>
      <c r="C86" s="6" t="inlineStr">
        <is>
          <t>Not found</t>
        </is>
      </c>
      <c r="D86" s="6" t="n">
        <v>-8.390000000000001</v>
      </c>
      <c r="E86" s="6" t="n">
        <v>0.47</v>
      </c>
      <c r="F86" s="6">
        <f>IF(AND(OR(LEFT($C$3, 3)="All", $C$3="", $C$3=A86, AND(LEFT($C$3, LEN(A86))=A86, MID($C$3, LEN(A86)+1, 2)=" (")), OR(LEFT($C$4, 3)="All", $C$4="", $C$4=B86, AND(LEFT($C$4, LEN(B86))=B86, MID($C$4, LEN(B86)+1, 2)=" ("))), D86-E86*3, NA())</f>
        <v/>
      </c>
      <c r="G86" s="6">
        <f>IF(AND(OR(LEFT($C$3, 3)="All", $C$3="", $C$3=A86, AND(LEFT($C$3, LEN(A86))=A86, MID($C$3, LEN(A86)+1, 2)=" (")), OR(LEFT($C$4, 3)="All", $C$4="", $C$4=B86, AND(LEFT($C$4, LEN(B86))=B86, MID($C$4, LEN(B86)+1, 2)=" ("))), D86-E86*6, NA())</f>
        <v/>
      </c>
      <c r="H86" s="5" t="inlineStr">
        <is>
          <t>2021 - Solvent‐Independent Molecular Weight Determination of Polymers Based on a Truly  Universal Calibration</t>
        </is>
      </c>
      <c r="I86" s="5" t="inlineStr">
        <is>
          <t>table1</t>
        </is>
      </c>
    </row>
    <row r="87">
      <c r="A87" s="5" t="inlineStr">
        <is>
          <t>poly(ethylene oxide)</t>
        </is>
      </c>
      <c r="B87" s="5" t="inlineStr">
        <is>
          <t>deuterium oxide</t>
        </is>
      </c>
      <c r="C87" s="6" t="inlineStr">
        <is>
          <t>Not found</t>
        </is>
      </c>
      <c r="D87" s="6" t="n">
        <v>-8.23</v>
      </c>
      <c r="E87" s="6" t="n">
        <v>0.49</v>
      </c>
      <c r="F87" s="6">
        <f>IF(AND(OR(LEFT($C$3, 3)="All", $C$3="", $C$3=A87, AND(LEFT($C$3, LEN(A87))=A87, MID($C$3, LEN(A87)+1, 2)=" (")), OR(LEFT($C$4, 3)="All", $C$4="", $C$4=B87, AND(LEFT($C$4, LEN(B87))=B87, MID($C$4, LEN(B87)+1, 2)=" ("))), D87-E87*3, NA())</f>
        <v/>
      </c>
      <c r="G87" s="6">
        <f>IF(AND(OR(LEFT($C$3, 3)="All", $C$3="", $C$3=A87, AND(LEFT($C$3, LEN(A87))=A87, MID($C$3, LEN(A87)+1, 2)=" (")), OR(LEFT($C$4, 3)="All", $C$4="", $C$4=B87, AND(LEFT($C$4, LEN(B87))=B87, MID($C$4, LEN(B87)+1, 2)=" ("))), D87-E87*6, NA())</f>
        <v/>
      </c>
      <c r="H87" s="5" t="inlineStr">
        <is>
          <t>2021 - Solvent‐Independent Molecular Weight Determination of Polymers Based on a Truly  Universal Calibration</t>
        </is>
      </c>
      <c r="I87" s="5" t="inlineStr">
        <is>
          <t>table3</t>
        </is>
      </c>
    </row>
    <row r="88">
      <c r="A88" s="5" t="inlineStr">
        <is>
          <t>poly(ethylene oxide)</t>
        </is>
      </c>
      <c r="B88" s="5" t="inlineStr">
        <is>
          <t>deuterium oxide</t>
        </is>
      </c>
      <c r="C88" s="6" t="inlineStr">
        <is>
          <t>Not found</t>
        </is>
      </c>
      <c r="D88" s="6" t="n">
        <v>-8.327</v>
      </c>
      <c r="E88" s="6" t="n">
        <v>0.4466</v>
      </c>
      <c r="F88" s="6">
        <f>IF(AND(OR(LEFT($C$3, 3)="All", $C$3="", $C$3=A88, AND(LEFT($C$3, LEN(A88))=A88, MID($C$3, LEN(A88)+1, 2)=" (")), OR(LEFT($C$4, 3)="All", $C$4="", $C$4=B88, AND(LEFT($C$4, LEN(B88))=B88, MID($C$4, LEN(B88)+1, 2)=" ("))), D88-E88*3, NA())</f>
        <v/>
      </c>
      <c r="G88" s="6">
        <f>IF(AND(OR(LEFT($C$3, 3)="All", $C$3="", $C$3=A88, AND(LEFT($C$3, LEN(A88))=A88, MID($C$3, LEN(A88)+1, 2)=" (")), OR(LEFT($C$4, 3)="All", $C$4="", $C$4=B88, AND(LEFT($C$4, LEN(B88))=B88, MID($C$4, LEN(B88)+1, 2)=" ("))), D88-E88*6, NA())</f>
        <v/>
      </c>
      <c r="H88" s="5" t="inlineStr">
        <is>
          <t>2021 - Solvent‐Independent Molecular Weight Determination of Polymers Based on a Truly Universal Calibration SI</t>
        </is>
      </c>
      <c r="I88" s="5" t="inlineStr">
        <is>
          <t>table6</t>
        </is>
      </c>
    </row>
    <row r="89">
      <c r="A89" s="5" t="inlineStr">
        <is>
          <t>poly(ethylene oxide)</t>
        </is>
      </c>
      <c r="B89" s="5" t="inlineStr">
        <is>
          <t>deuterium oxide</t>
        </is>
      </c>
      <c r="C89" s="6" t="inlineStr">
        <is>
          <t>Not found</t>
        </is>
      </c>
      <c r="D89" s="6" t="n">
        <v>-8.101177771017927</v>
      </c>
      <c r="E89" s="6" t="n">
        <v>0.512155</v>
      </c>
      <c r="F89" s="6">
        <f>IF(AND(OR(LEFT($C$3, 3)="All", $C$3="", $C$3=A89, AND(LEFT($C$3, LEN(A89))=A89, MID($C$3, LEN(A89)+1, 2)=" (")), OR(LEFT($C$4, 3)="All", $C$4="", $C$4=B89, AND(LEFT($C$4, LEN(B89))=B89, MID($C$4, LEN(B89)+1, 2)=" ("))), D89-E89*3, NA())</f>
        <v/>
      </c>
      <c r="G89" s="6">
        <f>IF(AND(OR(LEFT($C$3, 3)="All", $C$3="", $C$3=A89, AND(LEFT($C$3, LEN(A89))=A89, MID($C$3, LEN(A89)+1, 2)=" (")), OR(LEFT($C$4, 3)="All", $C$4="", $C$4=B89, AND(LEFT($C$4, LEN(B89))=B89, MID($C$4, LEN(B89)+1, 2)=" ("))), D89-E89*6, NA())</f>
        <v/>
      </c>
      <c r="H89" s="5" t="inlineStr">
        <is>
          <t>2023 - The Universal Calibration for Structure- and Solvent-Independent Molar Mass Determinations of Polymers Using Diffusion-Ordered Spectroscopy</t>
        </is>
      </c>
      <c r="I89" s="5" t="inlineStr">
        <is>
          <t>table1</t>
        </is>
      </c>
    </row>
    <row r="90">
      <c r="A90" s="5" t="inlineStr">
        <is>
          <t>poly(ethylene oxide)</t>
        </is>
      </c>
      <c r="B90" s="5" t="inlineStr">
        <is>
          <t>deuterium oxide</t>
        </is>
      </c>
      <c r="C90" s="6" t="inlineStr">
        <is>
          <t>Not found</t>
        </is>
      </c>
      <c r="D90" s="6" t="n">
        <v>-7.877194537152556</v>
      </c>
      <c r="E90" s="6" t="n">
        <v>0.5723</v>
      </c>
      <c r="F90" s="6">
        <f>IF(AND(OR(LEFT($C$3, 3)="All", $C$3="", $C$3=A90, AND(LEFT($C$3, LEN(A90))=A90, MID($C$3, LEN(A90)+1, 2)=" (")), OR(LEFT($C$4, 3)="All", $C$4="", $C$4=B90, AND(LEFT($C$4, LEN(B90))=B90, MID($C$4, LEN(B90)+1, 2)=" ("))), D90-E90*3, NA())</f>
        <v/>
      </c>
      <c r="G90" s="6">
        <f>IF(AND(OR(LEFT($C$3, 3)="All", $C$3="", $C$3=A90, AND(LEFT($C$3, LEN(A90))=A90, MID($C$3, LEN(A90)+1, 2)=" (")), OR(LEFT($C$4, 3)="All", $C$4="", $C$4=B90, AND(LEFT($C$4, LEN(B90))=B90, MID($C$4, LEN(B90)+1, 2)=" ("))), D90-E90*6, NA())</f>
        <v/>
      </c>
      <c r="H90" s="5" t="inlineStr">
        <is>
          <t>2024 - Molar Mass Determination for Small and Large Molecules Using Diffusion-Ordered Spectroscopy - SI</t>
        </is>
      </c>
      <c r="I90" s="5" t="inlineStr">
        <is>
          <t>table9</t>
        </is>
      </c>
    </row>
    <row r="91">
      <c r="A91" s="5" t="inlineStr">
        <is>
          <t>poly(ethylene oxide)</t>
        </is>
      </c>
      <c r="B91" s="5" t="inlineStr">
        <is>
          <t>deuterium oxide</t>
        </is>
      </c>
      <c r="C91" s="6" t="inlineStr">
        <is>
          <t>Not found</t>
        </is>
      </c>
      <c r="D91" s="6" t="n">
        <v>-7.877194537152556</v>
      </c>
      <c r="E91" s="6" t="n">
        <v>0.5723</v>
      </c>
      <c r="F91" s="6">
        <f>IF(AND(OR(LEFT($C$3, 3)="All", $C$3="", $C$3=A91, AND(LEFT($C$3, LEN(A91))=A91, MID($C$3, LEN(A91)+1, 2)=" (")), OR(LEFT($C$4, 3)="All", $C$4="", $C$4=B91, AND(LEFT($C$4, LEN(B91))=B91, MID($C$4, LEN(B91)+1, 2)=" ("))), D91-E91*3, NA())</f>
        <v/>
      </c>
      <c r="G91" s="6">
        <f>IF(AND(OR(LEFT($C$3, 3)="All", $C$3="", $C$3=A91, AND(LEFT($C$3, LEN(A91))=A91, MID($C$3, LEN(A91)+1, 2)=" (")), OR(LEFT($C$4, 3)="All", $C$4="", $C$4=B91, AND(LEFT($C$4, LEN(B91))=B91, MID($C$4, LEN(B91)+1, 2)=" ("))), D91-E91*6, NA())</f>
        <v/>
      </c>
      <c r="H91" s="5" t="inlineStr">
        <is>
          <t>2024 - Molar Mass Determination for Small and Large Molecules Using Diffusion-Ordered Spectroscopy - SI</t>
        </is>
      </c>
      <c r="I91" s="5" t="inlineStr">
        <is>
          <t>table10</t>
        </is>
      </c>
    </row>
    <row r="92">
      <c r="A92" s="5" t="inlineStr">
        <is>
          <t>poly(ethylene oxide)</t>
        </is>
      </c>
      <c r="B92" s="5" t="inlineStr">
        <is>
          <t>deuterium oxide</t>
        </is>
      </c>
      <c r="C92" s="6" t="inlineStr">
        <is>
          <t>Not found</t>
        </is>
      </c>
      <c r="D92" s="6" t="n">
        <v>-7.842301520724484</v>
      </c>
      <c r="E92" s="6" t="n">
        <v>0.55987</v>
      </c>
      <c r="F92" s="6">
        <f>IF(AND(OR(LEFT($C$3, 3)="All", $C$3="", $C$3=A92, AND(LEFT($C$3, LEN(A92))=A92, MID($C$3, LEN(A92)+1, 2)=" (")), OR(LEFT($C$4, 3)="All", $C$4="", $C$4=B92, AND(LEFT($C$4, LEN(B92))=B92, MID($C$4, LEN(B92)+1, 2)=" ("))), D92-E92*3, NA())</f>
        <v/>
      </c>
      <c r="G92" s="6">
        <f>IF(AND(OR(LEFT($C$3, 3)="All", $C$3="", $C$3=A92, AND(LEFT($C$3, LEN(A92))=A92, MID($C$3, LEN(A92)+1, 2)=" (")), OR(LEFT($C$4, 3)="All", $C$4="", $C$4=B92, AND(LEFT($C$4, LEN(B92))=B92, MID($C$4, LEN(B92)+1, 2)=" ("))), D92-E92*6, NA())</f>
        <v/>
      </c>
      <c r="H92" s="5" t="inlineStr">
        <is>
          <t>2024 - Molar Mass Determination for Small and Large Molecules Using Diffusion-Ordered Spectroscopy - SI</t>
        </is>
      </c>
      <c r="I92" s="5" t="inlineStr">
        <is>
          <t>table10</t>
        </is>
      </c>
    </row>
    <row r="93">
      <c r="A93" s="5" t="inlineStr">
        <is>
          <t>poly(ethylene oxide)</t>
        </is>
      </c>
      <c r="B93" s="5" t="inlineStr">
        <is>
          <t>deuterium oxide</t>
        </is>
      </c>
      <c r="C93" s="6" t="inlineStr">
        <is>
          <t>Not found</t>
        </is>
      </c>
      <c r="D93" s="6" t="n">
        <v>-7.717785866937665</v>
      </c>
      <c r="E93" s="6" t="n">
        <v>0.5633899999999999</v>
      </c>
      <c r="F93" s="6">
        <f>IF(AND(OR(LEFT($C$3, 3)="All", $C$3="", $C$3=A93, AND(LEFT($C$3, LEN(A93))=A93, MID($C$3, LEN(A93)+1, 2)=" (")), OR(LEFT($C$4, 3)="All", $C$4="", $C$4=B93, AND(LEFT($C$4, LEN(B93))=B93, MID($C$4, LEN(B93)+1, 2)=" ("))), D93-E93*3, NA())</f>
        <v/>
      </c>
      <c r="G93" s="6">
        <f>IF(AND(OR(LEFT($C$3, 3)="All", $C$3="", $C$3=A93, AND(LEFT($C$3, LEN(A93))=A93, MID($C$3, LEN(A93)+1, 2)=" (")), OR(LEFT($C$4, 3)="All", $C$4="", $C$4=B93, AND(LEFT($C$4, LEN(B93))=B93, MID($C$4, LEN(B93)+1, 2)=" ("))), D93-E93*6, NA())</f>
        <v/>
      </c>
      <c r="H93" s="5" t="inlineStr">
        <is>
          <t>2024 - Molar Mass Determination for Small and Large Molecules Using Diffusion-Ordered Spectroscopy - SI</t>
        </is>
      </c>
      <c r="I93" s="5" t="inlineStr">
        <is>
          <t>table10</t>
        </is>
      </c>
    </row>
    <row r="94">
      <c r="A94" s="5" t="inlineStr">
        <is>
          <t>poly(ethylene oxide)</t>
        </is>
      </c>
      <c r="B94" s="5" t="inlineStr">
        <is>
          <t>deuterium oxide</t>
        </is>
      </c>
      <c r="C94" s="6" t="inlineStr">
        <is>
          <t>Not found</t>
        </is>
      </c>
      <c r="D94" s="6" t="n">
        <v>-7.625031813700766</v>
      </c>
      <c r="E94" s="6" t="n">
        <v>0.55747</v>
      </c>
      <c r="F94" s="6">
        <f>IF(AND(OR(LEFT($C$3, 3)="All", $C$3="", $C$3=A94, AND(LEFT($C$3, LEN(A94))=A94, MID($C$3, LEN(A94)+1, 2)=" (")), OR(LEFT($C$4, 3)="All", $C$4="", $C$4=B94, AND(LEFT($C$4, LEN(B94))=B94, MID($C$4, LEN(B94)+1, 2)=" ("))), D94-E94*3, NA())</f>
        <v/>
      </c>
      <c r="G94" s="6">
        <f>IF(AND(OR(LEFT($C$3, 3)="All", $C$3="", $C$3=A94, AND(LEFT($C$3, LEN(A94))=A94, MID($C$3, LEN(A94)+1, 2)=" (")), OR(LEFT($C$4, 3)="All", $C$4="", $C$4=B94, AND(LEFT($C$4, LEN(B94))=B94, MID($C$4, LEN(B94)+1, 2)=" ("))), D94-E94*6, NA())</f>
        <v/>
      </c>
      <c r="H94" s="5" t="inlineStr">
        <is>
          <t>2024 - Molar Mass Determination for Small and Large Molecules Using Diffusion-Ordered Spectroscopy - SI</t>
        </is>
      </c>
      <c r="I94" s="5" t="inlineStr">
        <is>
          <t>table10</t>
        </is>
      </c>
    </row>
    <row r="95">
      <c r="A95" s="5" t="inlineStr">
        <is>
          <t>poly(ethylene oxide)</t>
        </is>
      </c>
      <c r="B95" s="5" t="inlineStr">
        <is>
          <t>deuterium oxide</t>
        </is>
      </c>
      <c r="C95" s="6" t="inlineStr">
        <is>
          <t>Not found</t>
        </is>
      </c>
      <c r="D95" s="6" t="n">
        <v>-7.556330296503602</v>
      </c>
      <c r="E95" s="6" t="n">
        <v>0.55169</v>
      </c>
      <c r="F95" s="6">
        <f>IF(AND(OR(LEFT($C$3, 3)="All", $C$3="", $C$3=A95, AND(LEFT($C$3, LEN(A95))=A95, MID($C$3, LEN(A95)+1, 2)=" (")), OR(LEFT($C$4, 3)="All", $C$4="", $C$4=B95, AND(LEFT($C$4, LEN(B95))=B95, MID($C$4, LEN(B95)+1, 2)=" ("))), D95-E95*3, NA())</f>
        <v/>
      </c>
      <c r="G95" s="6">
        <f>IF(AND(OR(LEFT($C$3, 3)="All", $C$3="", $C$3=A95, AND(LEFT($C$3, LEN(A95))=A95, MID($C$3, LEN(A95)+1, 2)=" (")), OR(LEFT($C$4, 3)="All", $C$4="", $C$4=B95, AND(LEFT($C$4, LEN(B95))=B95, MID($C$4, LEN(B95)+1, 2)=" ("))), D95-E95*6, NA())</f>
        <v/>
      </c>
      <c r="H95" s="5" t="inlineStr">
        <is>
          <t>2024 - Molar Mass Determination for Small and Large Molecules Using Diffusion-Ordered Spectroscopy - SI</t>
        </is>
      </c>
      <c r="I95" s="5" t="inlineStr">
        <is>
          <t>table10</t>
        </is>
      </c>
    </row>
    <row r="96">
      <c r="A96" s="5" t="inlineStr">
        <is>
          <t>poly(ethylene oxide)</t>
        </is>
      </c>
      <c r="B96" s="5" t="inlineStr">
        <is>
          <t>methanol-d4</t>
        </is>
      </c>
      <c r="C96" s="6" t="inlineStr">
        <is>
          <t>Not found</t>
        </is>
      </c>
      <c r="D96" s="6" t="n">
        <v>-8.06</v>
      </c>
      <c r="E96" s="6" t="n">
        <v>0.45</v>
      </c>
      <c r="F96" s="6">
        <f>IF(AND(OR(LEFT($C$3, 3)="All", $C$3="", $C$3=A96, AND(LEFT($C$3, LEN(A96))=A96, MID($C$3, LEN(A96)+1, 2)=" (")), OR(LEFT($C$4, 3)="All", $C$4="", $C$4=B96, AND(LEFT($C$4, LEN(B96))=B96, MID($C$4, LEN(B96)+1, 2)=" ("))), D96-E96*3, NA())</f>
        <v/>
      </c>
      <c r="G96" s="6">
        <f>IF(AND(OR(LEFT($C$3, 3)="All", $C$3="", $C$3=A96, AND(LEFT($C$3, LEN(A96))=A96, MID($C$3, LEN(A96)+1, 2)=" (")), OR(LEFT($C$4, 3)="All", $C$4="", $C$4=B96, AND(LEFT($C$4, LEN(B96))=B96, MID($C$4, LEN(B96)+1, 2)=" ("))), D96-E96*6, NA())</f>
        <v/>
      </c>
      <c r="H96" s="5" t="inlineStr">
        <is>
          <t>2021 - Solvent‐Independent Molecular Weight Determination of Polymers Based on a Truly  Universal Calibration</t>
        </is>
      </c>
      <c r="I96" s="5" t="inlineStr">
        <is>
          <t>table3</t>
        </is>
      </c>
    </row>
    <row r="97">
      <c r="A97" s="5" t="inlineStr">
        <is>
          <t>poly(ethylene oxide)</t>
        </is>
      </c>
      <c r="B97" s="5" t="inlineStr">
        <is>
          <t>methanol-d4</t>
        </is>
      </c>
      <c r="C97" s="6" t="inlineStr">
        <is>
          <t>Not found</t>
        </is>
      </c>
      <c r="D97" s="6" t="n">
        <v>-7.843617451027789</v>
      </c>
      <c r="E97" s="6" t="n">
        <v>0.504105</v>
      </c>
      <c r="F97" s="6">
        <f>IF(AND(OR(LEFT($C$3, 3)="All", $C$3="", $C$3=A97, AND(LEFT($C$3, LEN(A97))=A97, MID($C$3, LEN(A97)+1, 2)=" (")), OR(LEFT($C$4, 3)="All", $C$4="", $C$4=B97, AND(LEFT($C$4, LEN(B97))=B97, MID($C$4, LEN(B97)+1, 2)=" ("))), D97-E97*3, NA())</f>
        <v/>
      </c>
      <c r="G97" s="6">
        <f>IF(AND(OR(LEFT($C$3, 3)="All", $C$3="", $C$3=A97, AND(LEFT($C$3, LEN(A97))=A97, MID($C$3, LEN(A97)+1, 2)=" (")), OR(LEFT($C$4, 3)="All", $C$4="", $C$4=B97, AND(LEFT($C$4, LEN(B97))=B97, MID($C$4, LEN(B97)+1, 2)=" ("))), D97-E97*6, NA())</f>
        <v/>
      </c>
      <c r="H97" s="5" t="inlineStr">
        <is>
          <t>2023 - The Universal Calibration for Structure- and Solvent-Independent Molar Mass Determinations of Polymers Using Diffusion-Ordered Spectroscopy</t>
        </is>
      </c>
      <c r="I97" s="5" t="inlineStr">
        <is>
          <t>table1</t>
        </is>
      </c>
    </row>
    <row r="98">
      <c r="A98" s="5" t="inlineStr">
        <is>
          <t>poly(ethylene oxide)</t>
        </is>
      </c>
      <c r="B98" s="5" t="inlineStr">
        <is>
          <t>methanol-d4</t>
        </is>
      </c>
      <c r="C98" s="6" t="inlineStr">
        <is>
          <t>Not found</t>
        </is>
      </c>
      <c r="D98" s="6" t="n">
        <v>-7.591607379866639</v>
      </c>
      <c r="E98" s="6" t="n">
        <v>0.57021</v>
      </c>
      <c r="F98" s="6">
        <f>IF(AND(OR(LEFT($C$3, 3)="All", $C$3="", $C$3=A98, AND(LEFT($C$3, LEN(A98))=A98, MID($C$3, LEN(A98)+1, 2)=" (")), OR(LEFT($C$4, 3)="All", $C$4="", $C$4=B98, AND(LEFT($C$4, LEN(B98))=B98, MID($C$4, LEN(B98)+1, 2)=" ("))), D98-E98*3, NA())</f>
        <v/>
      </c>
      <c r="G98" s="6">
        <f>IF(AND(OR(LEFT($C$3, 3)="All", $C$3="", $C$3=A98, AND(LEFT($C$3, LEN(A98))=A98, MID($C$3, LEN(A98)+1, 2)=" (")), OR(LEFT($C$4, 3)="All", $C$4="", $C$4=B98, AND(LEFT($C$4, LEN(B98))=B98, MID($C$4, LEN(B98)+1, 2)=" ("))), D98-E98*6, NA())</f>
        <v/>
      </c>
      <c r="H98" s="5" t="inlineStr">
        <is>
          <t>2024 - Molar Mass Determination for Small and Large Molecules Using Diffusion-Ordered Spectroscopy - SI</t>
        </is>
      </c>
      <c r="I98" s="5" t="inlineStr">
        <is>
          <t>table9</t>
        </is>
      </c>
    </row>
    <row r="99">
      <c r="A99" s="5" t="inlineStr">
        <is>
          <t>poly(ethylene oxide)</t>
        </is>
      </c>
      <c r="B99" s="5" t="inlineStr">
        <is>
          <t>poly(ethylene oxide)</t>
        </is>
      </c>
      <c r="C99" s="6" t="inlineStr">
        <is>
          <t>Not found</t>
        </is>
      </c>
      <c r="D99" s="6" t="n">
        <v>-8.039999999999999</v>
      </c>
      <c r="E99" s="6" t="n">
        <v>0.45</v>
      </c>
      <c r="F99" s="6">
        <f>IF(AND(OR(LEFT($C$3, 3)="All", $C$3="", $C$3=A99, AND(LEFT($C$3, LEN(A99))=A99, MID($C$3, LEN(A99)+1, 2)=" (")), OR(LEFT($C$4, 3)="All", $C$4="", $C$4=B99, AND(LEFT($C$4, LEN(B99))=B99, MID($C$4, LEN(B99)+1, 2)=" ("))), D99-E99*3, NA())</f>
        <v/>
      </c>
      <c r="G99" s="6">
        <f>IF(AND(OR(LEFT($C$3, 3)="All", $C$3="", $C$3=A99, AND(LEFT($C$3, LEN(A99))=A99, MID($C$3, LEN(A99)+1, 2)=" (")), OR(LEFT($C$4, 3)="All", $C$4="", $C$4=B99, AND(LEFT($C$4, LEN(B99))=B99, MID($C$4, LEN(B99)+1, 2)=" ("))), D99-E99*6, NA())</f>
        <v/>
      </c>
      <c r="H99" s="5" t="inlineStr">
        <is>
          <t>2021 - Solvent‐Independent Molecular Weight Determination of Polymers Based on a Truly  Universal Calibration</t>
        </is>
      </c>
      <c r="I99" s="5" t="inlineStr">
        <is>
          <t>table3</t>
        </is>
      </c>
    </row>
    <row r="100">
      <c r="A100" s="5" t="inlineStr">
        <is>
          <t>poly(ethylene oxide)</t>
        </is>
      </c>
      <c r="B100" s="5" t="inlineStr">
        <is>
          <t>tetrahydrofuran</t>
        </is>
      </c>
      <c r="C100" s="6" t="inlineStr">
        <is>
          <t>Not found</t>
        </is>
      </c>
      <c r="D100" s="6" t="n">
        <v>-7.94</v>
      </c>
      <c r="E100" s="6" t="n">
        <v>0.46</v>
      </c>
      <c r="F100" s="6">
        <f>IF(AND(OR(LEFT($C$3, 3)="All", $C$3="", $C$3=A100, AND(LEFT($C$3, LEN(A100))=A100, MID($C$3, LEN(A100)+1, 2)=" (")), OR(LEFT($C$4, 3)="All", $C$4="", $C$4=B100, AND(LEFT($C$4, LEN(B100))=B100, MID($C$4, LEN(B100)+1, 2)=" ("))), D100-E100*3, NA())</f>
        <v/>
      </c>
      <c r="G100" s="6">
        <f>IF(AND(OR(LEFT($C$3, 3)="All", $C$3="", $C$3=A100, AND(LEFT($C$3, LEN(A100))=A100, MID($C$3, LEN(A100)+1, 2)=" (")), OR(LEFT($C$4, 3)="All", $C$4="", $C$4=B100, AND(LEFT($C$4, LEN(B100))=B100, MID($C$4, LEN(B100)+1, 2)=" ("))), D100-E100*6, NA())</f>
        <v/>
      </c>
      <c r="H100" s="5" t="inlineStr">
        <is>
          <t>2021 - Solvent‐Independent Molecular Weight Determination of Polymers Based on a Truly  Universal Calibration</t>
        </is>
      </c>
      <c r="I100" s="5" t="inlineStr">
        <is>
          <t>table3</t>
        </is>
      </c>
    </row>
    <row r="101">
      <c r="A101" s="5" t="inlineStr">
        <is>
          <t>poly(ethylene oxide)</t>
        </is>
      </c>
      <c r="B101" s="5" t="inlineStr">
        <is>
          <t>tetrahydrofuran</t>
        </is>
      </c>
      <c r="C101" s="6" t="inlineStr">
        <is>
          <t>Not found</t>
        </is>
      </c>
      <c r="D101" s="6" t="n">
        <v>-7.478914244084677</v>
      </c>
      <c r="E101" s="6" t="n">
        <v>0.58062</v>
      </c>
      <c r="F101" s="6">
        <f>IF(AND(OR(LEFT($C$3, 3)="All", $C$3="", $C$3=A101, AND(LEFT($C$3, LEN(A101))=A101, MID($C$3, LEN(A101)+1, 2)=" (")), OR(LEFT($C$4, 3)="All", $C$4="", $C$4=B101, AND(LEFT($C$4, LEN(B101))=B101, MID($C$4, LEN(B101)+1, 2)=" ("))), D101-E101*3, NA())</f>
        <v/>
      </c>
      <c r="G101" s="6">
        <f>IF(AND(OR(LEFT($C$3, 3)="All", $C$3="", $C$3=A101, AND(LEFT($C$3, LEN(A101))=A101, MID($C$3, LEN(A101)+1, 2)=" (")), OR(LEFT($C$4, 3)="All", $C$4="", $C$4=B101, AND(LEFT($C$4, LEN(B101))=B101, MID($C$4, LEN(B101)+1, 2)=" ("))), D101-E101*6, NA())</f>
        <v/>
      </c>
      <c r="H101" s="5" t="inlineStr">
        <is>
          <t>2024 - Molar Mass Determination for Small and Large Molecules Using Diffusion-Ordered Spectroscopy - SI</t>
        </is>
      </c>
      <c r="I101" s="5" t="inlineStr">
        <is>
          <t>table9</t>
        </is>
      </c>
    </row>
    <row r="102">
      <c r="A102" s="5" t="inlineStr">
        <is>
          <t>poly(methyl methacrylate)</t>
        </is>
      </c>
      <c r="B102" s="5" t="inlineStr">
        <is>
          <t>acetone</t>
        </is>
      </c>
      <c r="C102" s="6" t="inlineStr">
        <is>
          <t>Not found</t>
        </is>
      </c>
      <c r="D102" s="6" t="n">
        <v>-7.74</v>
      </c>
      <c r="E102" s="6" t="n">
        <v>0.44</v>
      </c>
      <c r="F102" s="6">
        <f>IF(AND(OR(LEFT($C$3, 3)="All", $C$3="", $C$3=A102, AND(LEFT($C$3, LEN(A102))=A102, MID($C$3, LEN(A102)+1, 2)=" (")), OR(LEFT($C$4, 3)="All", $C$4="", $C$4=B102, AND(LEFT($C$4, LEN(B102))=B102, MID($C$4, LEN(B102)+1, 2)=" ("))), D102-E102*3, NA())</f>
        <v/>
      </c>
      <c r="G102" s="6">
        <f>IF(AND(OR(LEFT($C$3, 3)="All", $C$3="", $C$3=A102, AND(LEFT($C$3, LEN(A102))=A102, MID($C$3, LEN(A102)+1, 2)=" (")), OR(LEFT($C$4, 3)="All", $C$4="", $C$4=B102, AND(LEFT($C$4, LEN(B102))=B102, MID($C$4, LEN(B102)+1, 2)=" ("))), D102-E102*6, NA())</f>
        <v/>
      </c>
      <c r="H102" s="5" t="inlineStr">
        <is>
          <t>2023 - A fast and efficient way of obtaining the average molecular weight of block copolymers via DOSY</t>
        </is>
      </c>
      <c r="I102" s="5" t="inlineStr">
        <is>
          <t>table1</t>
        </is>
      </c>
    </row>
    <row r="103">
      <c r="A103" s="5" t="inlineStr">
        <is>
          <t>poly(methyl methacrylate)</t>
        </is>
      </c>
      <c r="B103" s="5" t="inlineStr">
        <is>
          <t>benzene</t>
        </is>
      </c>
      <c r="C103" s="6" t="inlineStr">
        <is>
          <t>Not found</t>
        </is>
      </c>
      <c r="D103" s="6" t="n">
        <v>-7.91</v>
      </c>
      <c r="E103" s="6" t="n">
        <v>0.48</v>
      </c>
      <c r="F103" s="6">
        <f>IF(AND(OR(LEFT($C$3, 3)="All", $C$3="", $C$3=A103, AND(LEFT($C$3, LEN(A103))=A103, MID($C$3, LEN(A103)+1, 2)=" (")), OR(LEFT($C$4, 3)="All", $C$4="", $C$4=B103, AND(LEFT($C$4, LEN(B103))=B103, MID($C$4, LEN(B103)+1, 2)=" ("))), D103-E103*3, NA())</f>
        <v/>
      </c>
      <c r="G103" s="6">
        <f>IF(AND(OR(LEFT($C$3, 3)="All", $C$3="", $C$3=A103, AND(LEFT($C$3, LEN(A103))=A103, MID($C$3, LEN(A103)+1, 2)=" (")), OR(LEFT($C$4, 3)="All", $C$4="", $C$4=B103, AND(LEFT($C$4, LEN(B103))=B103, MID($C$4, LEN(B103)+1, 2)=" ("))), D103-E103*6, NA())</f>
        <v/>
      </c>
      <c r="H103" s="5" t="inlineStr">
        <is>
          <t>2023 - A fast and efficient way of obtaining the average molecular weight of block copolymers via DOSY</t>
        </is>
      </c>
      <c r="I103" s="5" t="inlineStr">
        <is>
          <t>table1</t>
        </is>
      </c>
    </row>
    <row r="104">
      <c r="A104" s="5" t="inlineStr">
        <is>
          <t>poly(methyl methacrylate)</t>
        </is>
      </c>
      <c r="B104" s="5" t="inlineStr">
        <is>
          <t>benzene</t>
        </is>
      </c>
      <c r="C104" s="6" t="inlineStr">
        <is>
          <t>Not found</t>
        </is>
      </c>
      <c r="D104" s="6" t="n">
        <v>-7.683956229316216</v>
      </c>
      <c r="E104" s="6" t="n">
        <v>0.530394</v>
      </c>
      <c r="F104" s="6">
        <f>IF(AND(OR(LEFT($C$3, 3)="All", $C$3="", $C$3=A104, AND(LEFT($C$3, LEN(A104))=A104, MID($C$3, LEN(A104)+1, 2)=" (")), OR(LEFT($C$4, 3)="All", $C$4="", $C$4=B104, AND(LEFT($C$4, LEN(B104))=B104, MID($C$4, LEN(B104)+1, 2)=" ("))), D104-E104*3, NA())</f>
        <v/>
      </c>
      <c r="G104" s="6">
        <f>IF(AND(OR(LEFT($C$3, 3)="All", $C$3="", $C$3=A104, AND(LEFT($C$3, LEN(A104))=A104, MID($C$3, LEN(A104)+1, 2)=" (")), OR(LEFT($C$4, 3)="All", $C$4="", $C$4=B104, AND(LEFT($C$4, LEN(B104))=B104, MID($C$4, LEN(B104)+1, 2)=" ("))), D104-E104*6, NA())</f>
        <v/>
      </c>
      <c r="H104" s="5" t="inlineStr">
        <is>
          <t>2023 - The Universal Calibration for Structure- and Solvent-Independent Molar Mass Determinations of Polymers Using Diffusion-Ordered Spectroscopy</t>
        </is>
      </c>
      <c r="I104" s="5" t="inlineStr">
        <is>
          <t>table1</t>
        </is>
      </c>
    </row>
    <row r="105">
      <c r="A105" s="5" t="inlineStr">
        <is>
          <t>poly(methyl methacrylate)</t>
        </is>
      </c>
      <c r="B105" s="5" t="inlineStr">
        <is>
          <t>benzene</t>
        </is>
      </c>
      <c r="C105" s="6" t="inlineStr">
        <is>
          <t>Not found</t>
        </is>
      </c>
      <c r="D105" s="6" t="n">
        <v>-7.528356300958614</v>
      </c>
      <c r="E105" s="6" t="n">
        <v>0.56913</v>
      </c>
      <c r="F105" s="6">
        <f>IF(AND(OR(LEFT($C$3, 3)="All", $C$3="", $C$3=A105, AND(LEFT($C$3, LEN(A105))=A105, MID($C$3, LEN(A105)+1, 2)=" (")), OR(LEFT($C$4, 3)="All", $C$4="", $C$4=B105, AND(LEFT($C$4, LEN(B105))=B105, MID($C$4, LEN(B105)+1, 2)=" ("))), D105-E105*3, NA())</f>
        <v/>
      </c>
      <c r="G105" s="6">
        <f>IF(AND(OR(LEFT($C$3, 3)="All", $C$3="", $C$3=A105, AND(LEFT($C$3, LEN(A105))=A105, MID($C$3, LEN(A105)+1, 2)=" (")), OR(LEFT($C$4, 3)="All", $C$4="", $C$4=B105, AND(LEFT($C$4, LEN(B105))=B105, MID($C$4, LEN(B105)+1, 2)=" ("))), D105-E105*6, NA())</f>
        <v/>
      </c>
      <c r="H105" s="5" t="inlineStr">
        <is>
          <t>2024 - Molar Mass Determination for Small and Large Molecules Using Diffusion-Ordered Spectroscopy - SI</t>
        </is>
      </c>
      <c r="I105" s="5" t="inlineStr">
        <is>
          <t>table8</t>
        </is>
      </c>
    </row>
    <row r="106">
      <c r="A106" s="5" t="inlineStr">
        <is>
          <t>poly(methyl methacrylate)</t>
        </is>
      </c>
      <c r="B106" s="5" t="inlineStr">
        <is>
          <t>benzene</t>
        </is>
      </c>
      <c r="C106" s="6" t="inlineStr">
        <is>
          <t>Not found</t>
        </is>
      </c>
      <c r="D106" s="6" t="n">
        <v>-7.696566333993796</v>
      </c>
      <c r="E106" s="6" t="n">
        <v>0.52734</v>
      </c>
      <c r="F106" s="6">
        <f>IF(AND(OR(LEFT($C$3, 3)="All", $C$3="", $C$3=A106, AND(LEFT($C$3, LEN(A106))=A106, MID($C$3, LEN(A106)+1, 2)=" (")), OR(LEFT($C$4, 3)="All", $C$4="", $C$4=B106, AND(LEFT($C$4, LEN(B106))=B106, MID($C$4, LEN(B106)+1, 2)=" ("))), D106-E106*3, NA())</f>
        <v/>
      </c>
      <c r="G106" s="6">
        <f>IF(AND(OR(LEFT($C$3, 3)="All", $C$3="", $C$3=A106, AND(LEFT($C$3, LEN(A106))=A106, MID($C$3, LEN(A106)+1, 2)=" (")), OR(LEFT($C$4, 3)="All", $C$4="", $C$4=B106, AND(LEFT($C$4, LEN(B106))=B106, MID($C$4, LEN(B106)+1, 2)=" ("))), D106-E106*6, NA())</f>
        <v/>
      </c>
      <c r="H106" s="5" t="inlineStr">
        <is>
          <t>2024 - Molar Mass Determination for Small and Large Molecules Using Diffusion-Ordered Spectroscopy - SI</t>
        </is>
      </c>
      <c r="I106" s="5" t="inlineStr">
        <is>
          <t>table10</t>
        </is>
      </c>
    </row>
    <row r="107">
      <c r="A107" s="5" t="inlineStr">
        <is>
          <t>poly(methyl methacrylate)</t>
        </is>
      </c>
      <c r="B107" s="5" t="inlineStr">
        <is>
          <t>benzene</t>
        </is>
      </c>
      <c r="C107" s="6" t="inlineStr">
        <is>
          <t>Not found</t>
        </is>
      </c>
      <c r="D107" s="6" t="n">
        <v>-7.623331814189471</v>
      </c>
      <c r="E107" s="6" t="n">
        <v>0.52996</v>
      </c>
      <c r="F107" s="6">
        <f>IF(AND(OR(LEFT($C$3, 3)="All", $C$3="", $C$3=A107, AND(LEFT($C$3, LEN(A107))=A107, MID($C$3, LEN(A107)+1, 2)=" (")), OR(LEFT($C$4, 3)="All", $C$4="", $C$4=B107, AND(LEFT($C$4, LEN(B107))=B107, MID($C$4, LEN(B107)+1, 2)=" ("))), D107-E107*3, NA())</f>
        <v/>
      </c>
      <c r="G107" s="6">
        <f>IF(AND(OR(LEFT($C$3, 3)="All", $C$3="", $C$3=A107, AND(LEFT($C$3, LEN(A107))=A107, MID($C$3, LEN(A107)+1, 2)=" (")), OR(LEFT($C$4, 3)="All", $C$4="", $C$4=B107, AND(LEFT($C$4, LEN(B107))=B107, MID($C$4, LEN(B107)+1, 2)=" ("))), D107-E107*6, NA())</f>
        <v/>
      </c>
      <c r="H107" s="5" t="inlineStr">
        <is>
          <t>2024 - Molar Mass Determination for Small and Large Molecules Using Diffusion-Ordered Spectroscopy - SI</t>
        </is>
      </c>
      <c r="I107" s="5" t="inlineStr">
        <is>
          <t>table10</t>
        </is>
      </c>
    </row>
    <row r="108">
      <c r="A108" s="5" t="inlineStr">
        <is>
          <t>poly(methyl methacrylate)</t>
        </is>
      </c>
      <c r="B108" s="5" t="inlineStr">
        <is>
          <t>benzene</t>
        </is>
      </c>
      <c r="C108" s="6" t="inlineStr">
        <is>
          <t>Not found</t>
        </is>
      </c>
      <c r="D108" s="6" t="n">
        <v>-7.58838029403677</v>
      </c>
      <c r="E108" s="6" t="n">
        <v>0.52552</v>
      </c>
      <c r="F108" s="6">
        <f>IF(AND(OR(LEFT($C$3, 3)="All", $C$3="", $C$3=A108, AND(LEFT($C$3, LEN(A108))=A108, MID($C$3, LEN(A108)+1, 2)=" (")), OR(LEFT($C$4, 3)="All", $C$4="", $C$4=B108, AND(LEFT($C$4, LEN(B108))=B108, MID($C$4, LEN(B108)+1, 2)=" ("))), D108-E108*3, NA())</f>
        <v/>
      </c>
      <c r="G108" s="6">
        <f>IF(AND(OR(LEFT($C$3, 3)="All", $C$3="", $C$3=A108, AND(LEFT($C$3, LEN(A108))=A108, MID($C$3, LEN(A108)+1, 2)=" (")), OR(LEFT($C$4, 3)="All", $C$4="", $C$4=B108, AND(LEFT($C$4, LEN(B108))=B108, MID($C$4, LEN(B108)+1, 2)=" ("))), D108-E108*6, NA())</f>
        <v/>
      </c>
      <c r="H108" s="5" t="inlineStr">
        <is>
          <t>2024 - Molar Mass Determination for Small and Large Molecules Using Diffusion-Ordered Spectroscopy - SI</t>
        </is>
      </c>
      <c r="I108" s="5" t="inlineStr">
        <is>
          <t>table10</t>
        </is>
      </c>
    </row>
    <row r="109">
      <c r="A109" s="5" t="inlineStr">
        <is>
          <t>poly(methyl methacrylate)</t>
        </is>
      </c>
      <c r="B109" s="5" t="inlineStr">
        <is>
          <t>benzene</t>
        </is>
      </c>
      <c r="C109" s="6" t="inlineStr">
        <is>
          <t>Not found</t>
        </is>
      </c>
      <c r="D109" s="6" t="n">
        <v>-7.512607063941288</v>
      </c>
      <c r="E109" s="6" t="n">
        <v>0.53221</v>
      </c>
      <c r="F109" s="6">
        <f>IF(AND(OR(LEFT($C$3, 3)="All", $C$3="", $C$3=A109, AND(LEFT($C$3, LEN(A109))=A109, MID($C$3, LEN(A109)+1, 2)=" (")), OR(LEFT($C$4, 3)="All", $C$4="", $C$4=B109, AND(LEFT($C$4, LEN(B109))=B109, MID($C$4, LEN(B109)+1, 2)=" ("))), D109-E109*3, NA())</f>
        <v/>
      </c>
      <c r="G109" s="6">
        <f>IF(AND(OR(LEFT($C$3, 3)="All", $C$3="", $C$3=A109, AND(LEFT($C$3, LEN(A109))=A109, MID($C$3, LEN(A109)+1, 2)=" (")), OR(LEFT($C$4, 3)="All", $C$4="", $C$4=B109, AND(LEFT($C$4, LEN(B109))=B109, MID($C$4, LEN(B109)+1, 2)=" ("))), D109-E109*6, NA())</f>
        <v/>
      </c>
      <c r="H109" s="5" t="inlineStr">
        <is>
          <t>2024 - Molar Mass Determination for Small and Large Molecules Using Diffusion-Ordered Spectroscopy - SI</t>
        </is>
      </c>
      <c r="I109" s="5" t="inlineStr">
        <is>
          <t>table10</t>
        </is>
      </c>
    </row>
    <row r="110">
      <c r="A110" s="5" t="inlineStr">
        <is>
          <t>poly(methyl methacrylate)</t>
        </is>
      </c>
      <c r="B110" s="5" t="inlineStr">
        <is>
          <t>benzene</t>
        </is>
      </c>
      <c r="C110" s="6" t="inlineStr">
        <is>
          <t>Not found</t>
        </is>
      </c>
      <c r="D110" s="6" t="n">
        <v>-7.534364379446671</v>
      </c>
      <c r="E110" s="6" t="n">
        <v>0.51415</v>
      </c>
      <c r="F110" s="6">
        <f>IF(AND(OR(LEFT($C$3, 3)="All", $C$3="", $C$3=A110, AND(LEFT($C$3, LEN(A110))=A110, MID($C$3, LEN(A110)+1, 2)=" (")), OR(LEFT($C$4, 3)="All", $C$4="", $C$4=B110, AND(LEFT($C$4, LEN(B110))=B110, MID($C$4, LEN(B110)+1, 2)=" ("))), D110-E110*3, NA())</f>
        <v/>
      </c>
      <c r="G110" s="6">
        <f>IF(AND(OR(LEFT($C$3, 3)="All", $C$3="", $C$3=A110, AND(LEFT($C$3, LEN(A110))=A110, MID($C$3, LEN(A110)+1, 2)=" (")), OR(LEFT($C$4, 3)="All", $C$4="", $C$4=B110, AND(LEFT($C$4, LEN(B110))=B110, MID($C$4, LEN(B110)+1, 2)=" ("))), D110-E110*6, NA())</f>
        <v/>
      </c>
      <c r="H110" s="5" t="inlineStr">
        <is>
          <t>2024 - Molar Mass Determination for Small and Large Molecules Using Diffusion-Ordered Spectroscopy - SI</t>
        </is>
      </c>
      <c r="I110" s="5" t="inlineStr">
        <is>
          <t>table10</t>
        </is>
      </c>
    </row>
    <row r="111">
      <c r="A111" s="5" t="inlineStr">
        <is>
          <t>poly(methyl methacrylate)</t>
        </is>
      </c>
      <c r="B111" s="5" t="inlineStr">
        <is>
          <t>benzene</t>
        </is>
      </c>
      <c r="C111" s="6" t="inlineStr">
        <is>
          <t>Not found</t>
        </is>
      </c>
      <c r="D111" s="6" t="n">
        <v>-7.486103513077076</v>
      </c>
      <c r="E111" s="6" t="n">
        <v>0.51461</v>
      </c>
      <c r="F111" s="6">
        <f>IF(AND(OR(LEFT($C$3, 3)="All", $C$3="", $C$3=A111, AND(LEFT($C$3, LEN(A111))=A111, MID($C$3, LEN(A111)+1, 2)=" (")), OR(LEFT($C$4, 3)="All", $C$4="", $C$4=B111, AND(LEFT($C$4, LEN(B111))=B111, MID($C$4, LEN(B111)+1, 2)=" ("))), D111-E111*3, NA())</f>
        <v/>
      </c>
      <c r="G111" s="6">
        <f>IF(AND(OR(LEFT($C$3, 3)="All", $C$3="", $C$3=A111, AND(LEFT($C$3, LEN(A111))=A111, MID($C$3, LEN(A111)+1, 2)=" (")), OR(LEFT($C$4, 3)="All", $C$4="", $C$4=B111, AND(LEFT($C$4, LEN(B111))=B111, MID($C$4, LEN(B111)+1, 2)=" ("))), D111-E111*6, NA())</f>
        <v/>
      </c>
      <c r="H111" s="5" t="inlineStr">
        <is>
          <t>2024 - Molar Mass Determination for Small and Large Molecules Using Diffusion-Ordered Spectroscopy - SI</t>
        </is>
      </c>
      <c r="I111" s="5" t="inlineStr">
        <is>
          <t>table10</t>
        </is>
      </c>
    </row>
    <row r="112">
      <c r="A112" s="5" t="inlineStr">
        <is>
          <t>poly(methyl methacrylate)</t>
        </is>
      </c>
      <c r="B112" s="5" t="inlineStr">
        <is>
          <t>chloroform-d</t>
        </is>
      </c>
      <c r="C112" s="6" t="inlineStr">
        <is>
          <t>Not found</t>
        </is>
      </c>
      <c r="D112" s="6" t="n">
        <v>-7.53</v>
      </c>
      <c r="E112" s="6" t="n">
        <v>0.5600000000000001</v>
      </c>
      <c r="F112" s="6">
        <f>IF(AND(OR(LEFT($C$3, 3)="All", $C$3="", $C$3=A112, AND(LEFT($C$3, LEN(A112))=A112, MID($C$3, LEN(A112)+1, 2)=" (")), OR(LEFT($C$4, 3)="All", $C$4="", $C$4=B112, AND(LEFT($C$4, LEN(B112))=B112, MID($C$4, LEN(B112)+1, 2)=" ("))), D112-E112*3, NA())</f>
        <v/>
      </c>
      <c r="G112" s="6">
        <f>IF(AND(OR(LEFT($C$3, 3)="All", $C$3="", $C$3=A112, AND(LEFT($C$3, LEN(A112))=A112, MID($C$3, LEN(A112)+1, 2)=" (")), OR(LEFT($C$4, 3)="All", $C$4="", $C$4=B112, AND(LEFT($C$4, LEN(B112))=B112, MID($C$4, LEN(B112)+1, 2)=" ("))), D112-E112*6, NA())</f>
        <v/>
      </c>
      <c r="H112" s="5" t="inlineStr">
        <is>
          <t>2021 - Solvent‐Independent Molecular Weight Determination of Polymers Based on a Truly  Universal Calibration</t>
        </is>
      </c>
      <c r="I112" s="5" t="inlineStr">
        <is>
          <t>table1</t>
        </is>
      </c>
    </row>
    <row r="113">
      <c r="A113" s="5" t="inlineStr">
        <is>
          <t>poly(methyl methacrylate)</t>
        </is>
      </c>
      <c r="B113" s="5" t="inlineStr">
        <is>
          <t>chloroform-d</t>
        </is>
      </c>
      <c r="C113" s="6" t="inlineStr">
        <is>
          <t>Not found</t>
        </is>
      </c>
      <c r="D113" s="6" t="n">
        <v>-7.579851091223765</v>
      </c>
      <c r="E113" s="6" t="n">
        <v>0.543219</v>
      </c>
      <c r="F113" s="6">
        <f>IF(AND(OR(LEFT($C$3, 3)="All", $C$3="", $C$3=A113, AND(LEFT($C$3, LEN(A113))=A113, MID($C$3, LEN(A113)+1, 2)=" (")), OR(LEFT($C$4, 3)="All", $C$4="", $C$4=B113, AND(LEFT($C$4, LEN(B113))=B113, MID($C$4, LEN(B113)+1, 2)=" ("))), D113-E113*3, NA())</f>
        <v/>
      </c>
      <c r="G113" s="6">
        <f>IF(AND(OR(LEFT($C$3, 3)="All", $C$3="", $C$3=A113, AND(LEFT($C$3, LEN(A113))=A113, MID($C$3, LEN(A113)+1, 2)=" (")), OR(LEFT($C$4, 3)="All", $C$4="", $C$4=B113, AND(LEFT($C$4, LEN(B113))=B113, MID($C$4, LEN(B113)+1, 2)=" ("))), D113-E113*6, NA())</f>
        <v/>
      </c>
      <c r="H113" s="5" t="inlineStr">
        <is>
          <t>2023 - The Universal Calibration for Structure- and Solvent-Independent Molar Mass Determinations of Polymers Using Diffusion-Ordered Spectroscopy</t>
        </is>
      </c>
      <c r="I113" s="5" t="inlineStr">
        <is>
          <t>table1</t>
        </is>
      </c>
    </row>
    <row r="114">
      <c r="A114" s="5" t="inlineStr">
        <is>
          <t>poly(methyl methacrylate)</t>
        </is>
      </c>
      <c r="B114" s="5" t="inlineStr">
        <is>
          <t>chloroform-d</t>
        </is>
      </c>
      <c r="C114" s="6" t="inlineStr">
        <is>
          <t>Not found</t>
        </is>
      </c>
      <c r="D114" s="6" t="n">
        <v>-7.416619835412931</v>
      </c>
      <c r="E114" s="6" t="n">
        <v>0.58372</v>
      </c>
      <c r="F114" s="6">
        <f>IF(AND(OR(LEFT($C$3, 3)="All", $C$3="", $C$3=A114, AND(LEFT($C$3, LEN(A114))=A114, MID($C$3, LEN(A114)+1, 2)=" (")), OR(LEFT($C$4, 3)="All", $C$4="", $C$4=B114, AND(LEFT($C$4, LEN(B114))=B114, MID($C$4, LEN(B114)+1, 2)=" ("))), D114-E114*3, NA())</f>
        <v/>
      </c>
      <c r="G114" s="6">
        <f>IF(AND(OR(LEFT($C$3, 3)="All", $C$3="", $C$3=A114, AND(LEFT($C$3, LEN(A114))=A114, MID($C$3, LEN(A114)+1, 2)=" (")), OR(LEFT($C$4, 3)="All", $C$4="", $C$4=B114, AND(LEFT($C$4, LEN(B114))=B114, MID($C$4, LEN(B114)+1, 2)=" ("))), D114-E114*6, NA())</f>
        <v/>
      </c>
      <c r="H114" s="5" t="inlineStr">
        <is>
          <t>2024 - Molar Mass Determination for Small and Large Molecules Using Diffusion-Ordered Spectroscopy - SI</t>
        </is>
      </c>
      <c r="I114" s="5" t="inlineStr">
        <is>
          <t>table8</t>
        </is>
      </c>
    </row>
    <row r="115">
      <c r="A115" s="5" t="inlineStr">
        <is>
          <t>poly(methyl methacrylate)</t>
        </is>
      </c>
      <c r="B115" s="5" t="inlineStr">
        <is>
          <t>dichloromethane</t>
        </is>
      </c>
      <c r="C115" s="6" t="inlineStr">
        <is>
          <t>Not found</t>
        </is>
      </c>
      <c r="D115" s="6" t="n">
        <v>-7.48967889681907</v>
      </c>
      <c r="E115" s="6" t="n">
        <v>0.53678</v>
      </c>
      <c r="F115" s="6">
        <f>IF(AND(OR(LEFT($C$3, 3)="All", $C$3="", $C$3=A115, AND(LEFT($C$3, LEN(A115))=A115, MID($C$3, LEN(A115)+1, 2)=" (")), OR(LEFT($C$4, 3)="All", $C$4="", $C$4=B115, AND(LEFT($C$4, LEN(B115))=B115, MID($C$4, LEN(B115)+1, 2)=" ("))), D115-E115*3, NA())</f>
        <v/>
      </c>
      <c r="G115" s="6">
        <f>IF(AND(OR(LEFT($C$3, 3)="All", $C$3="", $C$3=A115, AND(LEFT($C$3, LEN(A115))=A115, MID($C$3, LEN(A115)+1, 2)=" (")), OR(LEFT($C$4, 3)="All", $C$4="", $C$4=B115, AND(LEFT($C$4, LEN(B115))=B115, MID($C$4, LEN(B115)+1, 2)=" ("))), D115-E115*6, NA())</f>
        <v/>
      </c>
      <c r="H115" s="5" t="inlineStr">
        <is>
          <t>2023 - The Universal Calibration for Structure- and Solvent-Independent Molar Mass Determinations of Polymers Using Diffusion-Ordered Spectroscopy</t>
        </is>
      </c>
      <c r="I115" s="5" t="inlineStr">
        <is>
          <t>table1</t>
        </is>
      </c>
    </row>
    <row r="116">
      <c r="A116" s="5" t="inlineStr">
        <is>
          <t>poly(methyl methacrylate)</t>
        </is>
      </c>
      <c r="B116" s="5" t="inlineStr">
        <is>
          <t>dichloromethane</t>
        </is>
      </c>
      <c r="C116" s="6" t="inlineStr">
        <is>
          <t>Not found</t>
        </is>
      </c>
      <c r="D116" s="6" t="n">
        <v>-7.285687008705199</v>
      </c>
      <c r="E116" s="6" t="n">
        <v>0.58736</v>
      </c>
      <c r="F116" s="6">
        <f>IF(AND(OR(LEFT($C$3, 3)="All", $C$3="", $C$3=A116, AND(LEFT($C$3, LEN(A116))=A116, MID($C$3, LEN(A116)+1, 2)=" (")), OR(LEFT($C$4, 3)="All", $C$4="", $C$4=B116, AND(LEFT($C$4, LEN(B116))=B116, MID($C$4, LEN(B116)+1, 2)=" ("))), D116-E116*3, NA())</f>
        <v/>
      </c>
      <c r="G116" s="6">
        <f>IF(AND(OR(LEFT($C$3, 3)="All", $C$3="", $C$3=A116, AND(LEFT($C$3, LEN(A116))=A116, MID($C$3, LEN(A116)+1, 2)=" (")), OR(LEFT($C$4, 3)="All", $C$4="", $C$4=B116, AND(LEFT($C$4, LEN(B116))=B116, MID($C$4, LEN(B116)+1, 2)=" ("))), D116-E116*6, NA())</f>
        <v/>
      </c>
      <c r="H116" s="5" t="inlineStr">
        <is>
          <t>2024 - Molar Mass Determination for Small and Large Molecules Using Diffusion-Ordered Spectroscopy - SI</t>
        </is>
      </c>
      <c r="I116" s="5" t="inlineStr">
        <is>
          <t>table8</t>
        </is>
      </c>
    </row>
    <row r="117">
      <c r="A117" s="5" t="inlineStr">
        <is>
          <t>poly(methyl methacrylate)</t>
        </is>
      </c>
      <c r="B117" s="5" t="inlineStr">
        <is>
          <t>dimethyl sulfoxide</t>
        </is>
      </c>
      <c r="C117" s="6" t="inlineStr">
        <is>
          <t>Not found</t>
        </is>
      </c>
      <c r="D117" s="6" t="n">
        <v>-8.505773029599105</v>
      </c>
      <c r="E117" s="6" t="n">
        <v>0.444236</v>
      </c>
      <c r="F117" s="6">
        <f>IF(AND(OR(LEFT($C$3, 3)="All", $C$3="", $C$3=A117, AND(LEFT($C$3, LEN(A117))=A117, MID($C$3, LEN(A117)+1, 2)=" (")), OR(LEFT($C$4, 3)="All", $C$4="", $C$4=B117, AND(LEFT($C$4, LEN(B117))=B117, MID($C$4, LEN(B117)+1, 2)=" ("))), D117-E117*3, NA())</f>
        <v/>
      </c>
      <c r="G117" s="6">
        <f>IF(AND(OR(LEFT($C$3, 3)="All", $C$3="", $C$3=A117, AND(LEFT($C$3, LEN(A117))=A117, MID($C$3, LEN(A117)+1, 2)=" (")), OR(LEFT($C$4, 3)="All", $C$4="", $C$4=B117, AND(LEFT($C$4, LEN(B117))=B117, MID($C$4, LEN(B117)+1, 2)=" ("))), D117-E117*6, NA())</f>
        <v/>
      </c>
      <c r="H117" s="5" t="inlineStr">
        <is>
          <t>2023 - The Universal Calibration for Structure- and Solvent-Independent Molar Mass Determinations of Polymers Using Diffusion-Ordered Spectroscopy</t>
        </is>
      </c>
      <c r="I117" s="5" t="inlineStr">
        <is>
          <t>table1</t>
        </is>
      </c>
    </row>
    <row r="118">
      <c r="A118" s="5" t="inlineStr">
        <is>
          <t>poly(methyl methacrylate)</t>
        </is>
      </c>
      <c r="B118" s="5" t="inlineStr">
        <is>
          <t>dimethyl sulfoxide</t>
        </is>
      </c>
      <c r="C118" s="6" t="inlineStr">
        <is>
          <t>Not found</t>
        </is>
      </c>
      <c r="D118" s="6" t="n">
        <v>-8.505775813083098</v>
      </c>
      <c r="E118" s="6" t="n">
        <v>0.44424</v>
      </c>
      <c r="F118" s="6">
        <f>IF(AND(OR(LEFT($C$3, 3)="All", $C$3="", $C$3=A118, AND(LEFT($C$3, LEN(A118))=A118, MID($C$3, LEN(A118)+1, 2)=" (")), OR(LEFT($C$4, 3)="All", $C$4="", $C$4=B118, AND(LEFT($C$4, LEN(B118))=B118, MID($C$4, LEN(B118)+1, 2)=" ("))), D118-E118*3, NA())</f>
        <v/>
      </c>
      <c r="G118" s="6">
        <f>IF(AND(OR(LEFT($C$3, 3)="All", $C$3="", $C$3=A118, AND(LEFT($C$3, LEN(A118))=A118, MID($C$3, LEN(A118)+1, 2)=" (")), OR(LEFT($C$4, 3)="All", $C$4="", $C$4=B118, AND(LEFT($C$4, LEN(B118))=B118, MID($C$4, LEN(B118)+1, 2)=" ("))), D118-E118*6, NA())</f>
        <v/>
      </c>
      <c r="H118" s="5" t="inlineStr">
        <is>
          <t>2024 - Molar Mass Determination for Small and Large Molecules Using Diffusion-Ordered Spectroscopy - SI</t>
        </is>
      </c>
      <c r="I118" s="5" t="inlineStr">
        <is>
          <t>table8</t>
        </is>
      </c>
    </row>
    <row r="119">
      <c r="A119" s="5" t="inlineStr">
        <is>
          <t>poly(methyl methacrylate)</t>
        </is>
      </c>
      <c r="B119" s="5" t="inlineStr">
        <is>
          <t>tetrahydrofuran</t>
        </is>
      </c>
      <c r="C119" s="6" t="inlineStr">
        <is>
          <t>Not found</t>
        </is>
      </c>
      <c r="D119" s="6" t="n">
        <v>-8.02</v>
      </c>
      <c r="E119" s="6" t="n">
        <v>0.43</v>
      </c>
      <c r="F119" s="6">
        <f>IF(AND(OR(LEFT($C$3, 3)="All", $C$3="", $C$3=A119, AND(LEFT($C$3, LEN(A119))=A119, MID($C$3, LEN(A119)+1, 2)=" (")), OR(LEFT($C$4, 3)="All", $C$4="", $C$4=B119, AND(LEFT($C$4, LEN(B119))=B119, MID($C$4, LEN(B119)+1, 2)=" ("))), D119-E119*3, NA())</f>
        <v/>
      </c>
      <c r="G119" s="6">
        <f>IF(AND(OR(LEFT($C$3, 3)="All", $C$3="", $C$3=A119, AND(LEFT($C$3, LEN(A119))=A119, MID($C$3, LEN(A119)+1, 2)=" (")), OR(LEFT($C$4, 3)="All", $C$4="", $C$4=B119, AND(LEFT($C$4, LEN(B119))=B119, MID($C$4, LEN(B119)+1, 2)=" ("))), D119-E119*6, NA())</f>
        <v/>
      </c>
      <c r="H119" s="5" t="inlineStr">
        <is>
          <t>2023 - A fast and efficient way of obtaining the average molecular weight of block copolymers via DOSY</t>
        </is>
      </c>
      <c r="I119" s="5" t="inlineStr">
        <is>
          <t>table1</t>
        </is>
      </c>
    </row>
    <row r="120">
      <c r="A120" s="5" t="inlineStr">
        <is>
          <t>poly(methyl methacrylate)</t>
        </is>
      </c>
      <c r="B120" s="5" t="inlineStr">
        <is>
          <t>tetrahydrofuran</t>
        </is>
      </c>
      <c r="C120" s="6" t="inlineStr">
        <is>
          <t>Not found</t>
        </is>
      </c>
      <c r="D120" s="6" t="n">
        <v>-7.61465473895388</v>
      </c>
      <c r="E120" s="6" t="n">
        <v>0.517608</v>
      </c>
      <c r="F120" s="6">
        <f>IF(AND(OR(LEFT($C$3, 3)="All", $C$3="", $C$3=A120, AND(LEFT($C$3, LEN(A120))=A120, MID($C$3, LEN(A120)+1, 2)=" (")), OR(LEFT($C$4, 3)="All", $C$4="", $C$4=B120, AND(LEFT($C$4, LEN(B120))=B120, MID($C$4, LEN(B120)+1, 2)=" ("))), D120-E120*3, NA())</f>
        <v/>
      </c>
      <c r="G120" s="6">
        <f>IF(AND(OR(LEFT($C$3, 3)="All", $C$3="", $C$3=A120, AND(LEFT($C$3, LEN(A120))=A120, MID($C$3, LEN(A120)+1, 2)=" (")), OR(LEFT($C$4, 3)="All", $C$4="", $C$4=B120, AND(LEFT($C$4, LEN(B120))=B120, MID($C$4, LEN(B120)+1, 2)=" ("))), D120-E120*6, NA())</f>
        <v/>
      </c>
      <c r="H120" s="5" t="inlineStr">
        <is>
          <t>2023 - The Universal Calibration for Structure- and Solvent-Independent Molar Mass Determinations of Polymers Using Diffusion-Ordered Spectroscopy</t>
        </is>
      </c>
      <c r="I120" s="5" t="inlineStr">
        <is>
          <t>table1</t>
        </is>
      </c>
    </row>
    <row r="121">
      <c r="A121" s="5" t="inlineStr">
        <is>
          <t>poly(methyl methacrylate)</t>
        </is>
      </c>
      <c r="B121" s="5" t="inlineStr">
        <is>
          <t>tetrahydrofuran</t>
        </is>
      </c>
      <c r="C121" s="6" t="inlineStr">
        <is>
          <t>Not found</t>
        </is>
      </c>
      <c r="D121" s="6" t="n">
        <v>-7.434234799547848</v>
      </c>
      <c r="E121" s="6" t="n">
        <v>0.5624</v>
      </c>
      <c r="F121" s="6">
        <f>IF(AND(OR(LEFT($C$3, 3)="All", $C$3="", $C$3=A121, AND(LEFT($C$3, LEN(A121))=A121, MID($C$3, LEN(A121)+1, 2)=" (")), OR(LEFT($C$4, 3)="All", $C$4="", $C$4=B121, AND(LEFT($C$4, LEN(B121))=B121, MID($C$4, LEN(B121)+1, 2)=" ("))), D121-E121*3, NA())</f>
        <v/>
      </c>
      <c r="G121" s="6">
        <f>IF(AND(OR(LEFT($C$3, 3)="All", $C$3="", $C$3=A121, AND(LEFT($C$3, LEN(A121))=A121, MID($C$3, LEN(A121)+1, 2)=" (")), OR(LEFT($C$4, 3)="All", $C$4="", $C$4=B121, AND(LEFT($C$4, LEN(B121))=B121, MID($C$4, LEN(B121)+1, 2)=" ("))), D121-E121*6, NA())</f>
        <v/>
      </c>
      <c r="H121" s="5" t="inlineStr">
        <is>
          <t>2024 - Molar Mass Determination for Small and Large Molecules Using Diffusion-Ordered Spectroscopy - SI</t>
        </is>
      </c>
      <c r="I121" s="5" t="inlineStr">
        <is>
          <t>table8</t>
        </is>
      </c>
    </row>
    <row r="122">
      <c r="A122" s="5" t="inlineStr">
        <is>
          <t>poly(methyl methacrylate)</t>
        </is>
      </c>
      <c r="B122" s="5" t="inlineStr">
        <is>
          <t>toluene</t>
        </is>
      </c>
      <c r="C122" s="6" t="inlineStr">
        <is>
          <t>Not found</t>
        </is>
      </c>
      <c r="D122" s="6" t="n">
        <v>-7.72</v>
      </c>
      <c r="E122" s="6" t="n">
        <v>0.5</v>
      </c>
      <c r="F122" s="6">
        <f>IF(AND(OR(LEFT($C$3, 3)="All", $C$3="", $C$3=A122, AND(LEFT($C$3, LEN(A122))=A122, MID($C$3, LEN(A122)+1, 2)=" (")), OR(LEFT($C$4, 3)="All", $C$4="", $C$4=B122, AND(LEFT($C$4, LEN(B122))=B122, MID($C$4, LEN(B122)+1, 2)=" ("))), D122-E122*3, NA())</f>
        <v/>
      </c>
      <c r="G122" s="6">
        <f>IF(AND(OR(LEFT($C$3, 3)="All", $C$3="", $C$3=A122, AND(LEFT($C$3, LEN(A122))=A122, MID($C$3, LEN(A122)+1, 2)=" (")), OR(LEFT($C$4, 3)="All", $C$4="", $C$4=B122, AND(LEFT($C$4, LEN(B122))=B122, MID($C$4, LEN(B122)+1, 2)=" ("))), D122-E122*6, NA())</f>
        <v/>
      </c>
      <c r="H122" s="5" t="inlineStr">
        <is>
          <t>2021 - Solvent‐Independent Molecular Weight Determination of Polymers Based on a Truly  Universal Calibration</t>
        </is>
      </c>
      <c r="I122" s="5" t="inlineStr">
        <is>
          <t>table1</t>
        </is>
      </c>
    </row>
    <row r="123">
      <c r="A123" s="5" t="inlineStr">
        <is>
          <t>poly(methyl methacrylate)</t>
        </is>
      </c>
      <c r="B123" s="5" t="inlineStr">
        <is>
          <t>toluene</t>
        </is>
      </c>
      <c r="C123" s="6" t="inlineStr">
        <is>
          <t>Not found</t>
        </is>
      </c>
      <c r="D123" s="6" t="n">
        <v>-8.109999999999999</v>
      </c>
      <c r="E123" s="6" t="n">
        <v>0.43</v>
      </c>
      <c r="F123" s="6">
        <f>IF(AND(OR(LEFT($C$3, 3)="All", $C$3="", $C$3=A123, AND(LEFT($C$3, LEN(A123))=A123, MID($C$3, LEN(A123)+1, 2)=" (")), OR(LEFT($C$4, 3)="All", $C$4="", $C$4=B123, AND(LEFT($C$4, LEN(B123))=B123, MID($C$4, LEN(B123)+1, 2)=" ("))), D123-E123*3, NA())</f>
        <v/>
      </c>
      <c r="G123" s="6">
        <f>IF(AND(OR(LEFT($C$3, 3)="All", $C$3="", $C$3=A123, AND(LEFT($C$3, LEN(A123))=A123, MID($C$3, LEN(A123)+1, 2)=" (")), OR(LEFT($C$4, 3)="All", $C$4="", $C$4=B123, AND(LEFT($C$4, LEN(B123))=B123, MID($C$4, LEN(B123)+1, 2)=" ("))), D123-E123*6, NA())</f>
        <v/>
      </c>
      <c r="H123" s="5" t="inlineStr">
        <is>
          <t>2023 - A fast and efficient way of obtaining the average molecular weight of block copolymers via DOSY</t>
        </is>
      </c>
      <c r="I123" s="5" t="inlineStr">
        <is>
          <t>table1</t>
        </is>
      </c>
    </row>
    <row r="124">
      <c r="A124" s="5" t="inlineStr">
        <is>
          <t>polyimide</t>
        </is>
      </c>
      <c r="B124" s="5" t="inlineStr">
        <is>
          <t>benzene</t>
        </is>
      </c>
      <c r="C124" s="6" t="inlineStr">
        <is>
          <t>Not found</t>
        </is>
      </c>
      <c r="D124" s="6" t="n">
        <v>-7.388584736177106</v>
      </c>
      <c r="E124" s="6" t="n">
        <v>0.61614</v>
      </c>
      <c r="F124" s="6">
        <f>IF(AND(OR(LEFT($C$3, 3)="All", $C$3="", $C$3=A124, AND(LEFT($C$3, LEN(A124))=A124, MID($C$3, LEN(A124)+1, 2)=" (")), OR(LEFT($C$4, 3)="All", $C$4="", $C$4=B124, AND(LEFT($C$4, LEN(B124))=B124, MID($C$4, LEN(B124)+1, 2)=" ("))), D124-E124*3, NA())</f>
        <v/>
      </c>
      <c r="G124" s="6">
        <f>IF(AND(OR(LEFT($C$3, 3)="All", $C$3="", $C$3=A124, AND(LEFT($C$3, LEN(A124))=A124, MID($C$3, LEN(A124)+1, 2)=" (")), OR(LEFT($C$4, 3)="All", $C$4="", $C$4=B124, AND(LEFT($C$4, LEN(B124))=B124, MID($C$4, LEN(B124)+1, 2)=" ("))), D124-E124*6, NA())</f>
        <v/>
      </c>
      <c r="H124" s="5" t="inlineStr">
        <is>
          <t>2024 - Molar Mass Determination for Small and Large Molecules Using Diffusion-Ordered Spectroscopy - SI</t>
        </is>
      </c>
      <c r="I124" s="5" t="inlineStr">
        <is>
          <t>table8</t>
        </is>
      </c>
    </row>
    <row r="125">
      <c r="A125" s="5" t="inlineStr">
        <is>
          <t>polyimide</t>
        </is>
      </c>
      <c r="B125" s="5" t="inlineStr">
        <is>
          <t>chloroform-d</t>
        </is>
      </c>
      <c r="C125" s="6" t="inlineStr">
        <is>
          <t>Not found</t>
        </is>
      </c>
      <c r="D125" s="6" t="n">
        <v>-7.298285260295005</v>
      </c>
      <c r="E125" s="6" t="n">
        <v>0.62721</v>
      </c>
      <c r="F125" s="6">
        <f>IF(AND(OR(LEFT($C$3, 3)="All", $C$3="", $C$3=A125, AND(LEFT($C$3, LEN(A125))=A125, MID($C$3, LEN(A125)+1, 2)=" (")), OR(LEFT($C$4, 3)="All", $C$4="", $C$4=B125, AND(LEFT($C$4, LEN(B125))=B125, MID($C$4, LEN(B125)+1, 2)=" ("))), D125-E125*3, NA())</f>
        <v/>
      </c>
      <c r="G125" s="6">
        <f>IF(AND(OR(LEFT($C$3, 3)="All", $C$3="", $C$3=A125, AND(LEFT($C$3, LEN(A125))=A125, MID($C$3, LEN(A125)+1, 2)=" (")), OR(LEFT($C$4, 3)="All", $C$4="", $C$4=B125, AND(LEFT($C$4, LEN(B125))=B125, MID($C$4, LEN(B125)+1, 2)=" ("))), D125-E125*6, NA())</f>
        <v/>
      </c>
      <c r="H125" s="5" t="inlineStr">
        <is>
          <t>2024 - Molar Mass Determination for Small and Large Molecules Using Diffusion-Ordered Spectroscopy - SI</t>
        </is>
      </c>
      <c r="I125" s="5" t="inlineStr">
        <is>
          <t>table8</t>
        </is>
      </c>
    </row>
    <row r="126">
      <c r="A126" s="5" t="inlineStr">
        <is>
          <t>polyimide</t>
        </is>
      </c>
      <c r="B126" s="5" t="inlineStr">
        <is>
          <t>dichloromethane</t>
        </is>
      </c>
      <c r="C126" s="6" t="inlineStr">
        <is>
          <t>Not found</t>
        </is>
      </c>
      <c r="D126" s="6" t="n">
        <v>-7.380124391499957</v>
      </c>
      <c r="E126" s="6" t="n">
        <v>0.57317</v>
      </c>
      <c r="F126" s="6">
        <f>IF(AND(OR(LEFT($C$3, 3)="All", $C$3="", $C$3=A126, AND(LEFT($C$3, LEN(A126))=A126, MID($C$3, LEN(A126)+1, 2)=" (")), OR(LEFT($C$4, 3)="All", $C$4="", $C$4=B126, AND(LEFT($C$4, LEN(B126))=B126, MID($C$4, LEN(B126)+1, 2)=" ("))), D126-E126*3, NA())</f>
        <v/>
      </c>
      <c r="G126" s="6">
        <f>IF(AND(OR(LEFT($C$3, 3)="All", $C$3="", $C$3=A126, AND(LEFT($C$3, LEN(A126))=A126, MID($C$3, LEN(A126)+1, 2)=" (")), OR(LEFT($C$4, 3)="All", $C$4="", $C$4=B126, AND(LEFT($C$4, LEN(B126))=B126, MID($C$4, LEN(B126)+1, 2)=" ("))), D126-E126*6, NA())</f>
        <v/>
      </c>
      <c r="H126" s="5" t="inlineStr">
        <is>
          <t>2024 - Molar Mass Determination for Small and Large Molecules Using Diffusion-Ordered Spectroscopy - SI</t>
        </is>
      </c>
      <c r="I126" s="5" t="inlineStr">
        <is>
          <t>table8</t>
        </is>
      </c>
    </row>
    <row r="127">
      <c r="A127" s="5" t="inlineStr">
        <is>
          <t>polyimide</t>
        </is>
      </c>
      <c r="B127" s="5" t="inlineStr">
        <is>
          <t>tetrahydrofuran</t>
        </is>
      </c>
      <c r="C127" s="6" t="inlineStr">
        <is>
          <t>Not found</t>
        </is>
      </c>
      <c r="D127" s="6" t="n">
        <v>-7.330497165895657</v>
      </c>
      <c r="E127" s="6" t="n">
        <v>0.60811</v>
      </c>
      <c r="F127" s="6">
        <f>IF(AND(OR(LEFT($C$3, 3)="All", $C$3="", $C$3=A127, AND(LEFT($C$3, LEN(A127))=A127, MID($C$3, LEN(A127)+1, 2)=" (")), OR(LEFT($C$4, 3)="All", $C$4="", $C$4=B127, AND(LEFT($C$4, LEN(B127))=B127, MID($C$4, LEN(B127)+1, 2)=" ("))), D127-E127*3, NA())</f>
        <v/>
      </c>
      <c r="G127" s="6">
        <f>IF(AND(OR(LEFT($C$3, 3)="All", $C$3="", $C$3=A127, AND(LEFT($C$3, LEN(A127))=A127, MID($C$3, LEN(A127)+1, 2)=" (")), OR(LEFT($C$4, 3)="All", $C$4="", $C$4=B127, AND(LEFT($C$4, LEN(B127))=B127, MID($C$4, LEN(B127)+1, 2)=" ("))), D127-E127*6, NA())</f>
        <v/>
      </c>
      <c r="H127" s="5" t="inlineStr">
        <is>
          <t>2024 - Molar Mass Determination for Small and Large Molecules Using Diffusion-Ordered Spectroscopy - SI</t>
        </is>
      </c>
      <c r="I127" s="5" t="inlineStr">
        <is>
          <t>table8</t>
        </is>
      </c>
    </row>
    <row r="128">
      <c r="A128" s="5" t="inlineStr">
        <is>
          <t>polymer_name</t>
        </is>
      </c>
      <c r="B128" s="5" t="inlineStr">
        <is>
          <t>acetone</t>
        </is>
      </c>
      <c r="C128" s="6" t="inlineStr">
        <is>
          <t>Not found</t>
        </is>
      </c>
      <c r="D128" s="6" t="n">
        <v>-7.78</v>
      </c>
      <c r="E128" s="6" t="n">
        <v>0.43</v>
      </c>
      <c r="F128" s="6">
        <f>IF(AND(OR(LEFT($C$3, 3)="All", $C$3="", $C$3=A128, AND(LEFT($C$3, LEN(A128))=A128, MID($C$3, LEN(A128)+1, 2)=" (")), OR(LEFT($C$4, 3)="All", $C$4="", $C$4=B128, AND(LEFT($C$4, LEN(B128))=B128, MID($C$4, LEN(B128)+1, 2)=" ("))), D128-E128*3, NA())</f>
        <v/>
      </c>
      <c r="G128" s="6">
        <f>IF(AND(OR(LEFT($C$3, 3)="All", $C$3="", $C$3=A128, AND(LEFT($C$3, LEN(A128))=A128, MID($C$3, LEN(A128)+1, 2)=" (")), OR(LEFT($C$4, 3)="All", $C$4="", $C$4=B128, AND(LEFT($C$4, LEN(B128))=B128, MID($C$4, LEN(B128)+1, 2)=" ("))), D128-E128*6, NA())</f>
        <v/>
      </c>
      <c r="H128" s="5" t="inlineStr">
        <is>
          <t>2021 - Solvent‐Independent Molecular Weight Determination of Polymers Based on a Truly  Universal Calibration</t>
        </is>
      </c>
      <c r="I128" s="5" t="inlineStr">
        <is>
          <t>table2</t>
        </is>
      </c>
    </row>
    <row r="129">
      <c r="A129" s="5" t="inlineStr">
        <is>
          <t>polymer_name</t>
        </is>
      </c>
      <c r="B129" s="5" t="inlineStr">
        <is>
          <t>tetrahydrofuran</t>
        </is>
      </c>
      <c r="C129" s="6" t="inlineStr">
        <is>
          <t>Not found</t>
        </is>
      </c>
      <c r="D129" s="6" t="n">
        <v>-7.733838887780599</v>
      </c>
      <c r="E129" s="6" t="n">
        <v>0.513725</v>
      </c>
      <c r="F129" s="6">
        <f>IF(AND(OR(LEFT($C$3, 3)="All", $C$3="", $C$3=A129, AND(LEFT($C$3, LEN(A129))=A129, MID($C$3, LEN(A129)+1, 2)=" (")), OR(LEFT($C$4, 3)="All", $C$4="", $C$4=B129, AND(LEFT($C$4, LEN(B129))=B129, MID($C$4, LEN(B129)+1, 2)=" ("))), D129-E129*3, NA())</f>
        <v/>
      </c>
      <c r="G129" s="6">
        <f>IF(AND(OR(LEFT($C$3, 3)="All", $C$3="", $C$3=A129, AND(LEFT($C$3, LEN(A129))=A129, MID($C$3, LEN(A129)+1, 2)=" (")), OR(LEFT($C$4, 3)="All", $C$4="", $C$4=B129, AND(LEFT($C$4, LEN(B129))=B129, MID($C$4, LEN(B129)+1, 2)=" ("))), D129-E129*6, NA())</f>
        <v/>
      </c>
      <c r="H129" s="5" t="inlineStr">
        <is>
          <t>2023 - The Universal Calibration for Structure- and Solvent-Independent Molar Mass Determinations of Polymers Using Diffusion-Ordered Spectroscopy</t>
        </is>
      </c>
      <c r="I129" s="5" t="inlineStr">
        <is>
          <t>table1</t>
        </is>
      </c>
    </row>
    <row r="130">
      <c r="A130" s="5" t="inlineStr">
        <is>
          <t>polystyrene</t>
        </is>
      </c>
      <c r="B130" s="5" t="inlineStr">
        <is>
          <t>acetone</t>
        </is>
      </c>
      <c r="C130" s="6" t="inlineStr">
        <is>
          <t>Not found</t>
        </is>
      </c>
      <c r="D130" s="6" t="n">
        <v>-7.679147780168245</v>
      </c>
      <c r="E130" s="6" t="n">
        <v>0.452089</v>
      </c>
      <c r="F130" s="6">
        <f>IF(AND(OR(LEFT($C$3, 3)="All", $C$3="", $C$3=A130, AND(LEFT($C$3, LEN(A130))=A130, MID($C$3, LEN(A130)+1, 2)=" (")), OR(LEFT($C$4, 3)="All", $C$4="", $C$4=B130, AND(LEFT($C$4, LEN(B130))=B130, MID($C$4, LEN(B130)+1, 2)=" ("))), D130-E130*3, NA())</f>
        <v/>
      </c>
      <c r="G130" s="6">
        <f>IF(AND(OR(LEFT($C$3, 3)="All", $C$3="", $C$3=A130, AND(LEFT($C$3, LEN(A130))=A130, MID($C$3, LEN(A130)+1, 2)=" (")), OR(LEFT($C$4, 3)="All", $C$4="", $C$4=B130, AND(LEFT($C$4, LEN(B130))=B130, MID($C$4, LEN(B130)+1, 2)=" ("))), D130-E130*6, NA())</f>
        <v/>
      </c>
      <c r="H130" s="5" t="inlineStr">
        <is>
          <t>2023 - The Universal Calibration for Structure- and Solvent-Independent Molar Mass Determinations of Polymers Using Diffusion-Ordered Spectroscopy</t>
        </is>
      </c>
      <c r="I130" s="5" t="inlineStr">
        <is>
          <t>table1</t>
        </is>
      </c>
    </row>
    <row r="131">
      <c r="A131" s="5" t="inlineStr">
        <is>
          <t>polystyrene</t>
        </is>
      </c>
      <c r="B131" s="5" t="inlineStr">
        <is>
          <t>acetone</t>
        </is>
      </c>
      <c r="C131" s="6" t="inlineStr">
        <is>
          <t>Not found</t>
        </is>
      </c>
      <c r="D131" s="6" t="n">
        <v>-7.679147780168245</v>
      </c>
      <c r="E131" s="6" t="n">
        <v>0.45209</v>
      </c>
      <c r="F131" s="6">
        <f>IF(AND(OR(LEFT($C$3, 3)="All", $C$3="", $C$3=A131, AND(LEFT($C$3, LEN(A131))=A131, MID($C$3, LEN(A131)+1, 2)=" (")), OR(LEFT($C$4, 3)="All", $C$4="", $C$4=B131, AND(LEFT($C$4, LEN(B131))=B131, MID($C$4, LEN(B131)+1, 2)=" ("))), D131-E131*3, NA())</f>
        <v/>
      </c>
      <c r="G131" s="6">
        <f>IF(AND(OR(LEFT($C$3, 3)="All", $C$3="", $C$3=A131, AND(LEFT($C$3, LEN(A131))=A131, MID($C$3, LEN(A131)+1, 2)=" (")), OR(LEFT($C$4, 3)="All", $C$4="", $C$4=B131, AND(LEFT($C$4, LEN(B131))=B131, MID($C$4, LEN(B131)+1, 2)=" ("))), D131-E131*6, NA())</f>
        <v/>
      </c>
      <c r="H131" s="5" t="inlineStr">
        <is>
          <t>2024 - Molar Mass Determination for Small and Large Molecules Using Diffusion-Ordered Spectroscopy - SI</t>
        </is>
      </c>
      <c r="I131" s="5" t="inlineStr">
        <is>
          <t>table8</t>
        </is>
      </c>
    </row>
    <row r="132">
      <c r="A132" s="5" t="inlineStr">
        <is>
          <t>polystyrene</t>
        </is>
      </c>
      <c r="B132" s="5" t="inlineStr">
        <is>
          <t>benzene</t>
        </is>
      </c>
      <c r="C132" s="6" t="inlineStr">
        <is>
          <t>Not found</t>
        </is>
      </c>
      <c r="D132" s="6" t="n">
        <v>-7.7</v>
      </c>
      <c r="E132" s="6" t="n">
        <v>0.54</v>
      </c>
      <c r="F132" s="6">
        <f>IF(AND(OR(LEFT($C$3, 3)="All", $C$3="", $C$3=A132, AND(LEFT($C$3, LEN(A132))=A132, MID($C$3, LEN(A132)+1, 2)=" (")), OR(LEFT($C$4, 3)="All", $C$4="", $C$4=B132, AND(LEFT($C$4, LEN(B132))=B132, MID($C$4, LEN(B132)+1, 2)=" ("))), D132-E132*3, NA())</f>
        <v/>
      </c>
      <c r="G132" s="6">
        <f>IF(AND(OR(LEFT($C$3, 3)="All", $C$3="", $C$3=A132, AND(LEFT($C$3, LEN(A132))=A132, MID($C$3, LEN(A132)+1, 2)=" (")), OR(LEFT($C$4, 3)="All", $C$4="", $C$4=B132, AND(LEFT($C$4, LEN(B132))=B132, MID($C$4, LEN(B132)+1, 2)=" ("))), D132-E132*6, NA())</f>
        <v/>
      </c>
      <c r="H132" s="5" t="inlineStr">
        <is>
          <t>2021 - Solvent‐Independent Molecular Weight Determination of Polymers Based on a Truly  Universal Calibration</t>
        </is>
      </c>
      <c r="I132" s="5" t="inlineStr">
        <is>
          <t>table1</t>
        </is>
      </c>
    </row>
    <row r="133">
      <c r="A133" s="5" t="inlineStr">
        <is>
          <t>polystyrene</t>
        </is>
      </c>
      <c r="B133" s="5" t="inlineStr">
        <is>
          <t>benzene</t>
        </is>
      </c>
      <c r="C133" s="6" t="inlineStr">
        <is>
          <t>Not found</t>
        </is>
      </c>
      <c r="D133" s="6" t="n">
        <v>-7.94</v>
      </c>
      <c r="E133" s="6" t="n">
        <v>0.49</v>
      </c>
      <c r="F133" s="6">
        <f>IF(AND(OR(LEFT($C$3, 3)="All", $C$3="", $C$3=A133, AND(LEFT($C$3, LEN(A133))=A133, MID($C$3, LEN(A133)+1, 2)=" (")), OR(LEFT($C$4, 3)="All", $C$4="", $C$4=B133, AND(LEFT($C$4, LEN(B133))=B133, MID($C$4, LEN(B133)+1, 2)=" ("))), D133-E133*3, NA())</f>
        <v/>
      </c>
      <c r="G133" s="6">
        <f>IF(AND(OR(LEFT($C$3, 3)="All", $C$3="", $C$3=A133, AND(LEFT($C$3, LEN(A133))=A133, MID($C$3, LEN(A133)+1, 2)=" (")), OR(LEFT($C$4, 3)="All", $C$4="", $C$4=B133, AND(LEFT($C$4, LEN(B133))=B133, MID($C$4, LEN(B133)+1, 2)=" ("))), D133-E133*6, NA())</f>
        <v/>
      </c>
      <c r="H133" s="5" t="inlineStr">
        <is>
          <t>2021 - Solvent‐Independent Molecular Weight Determination of Polymers Based on a Truly  Universal Calibration</t>
        </is>
      </c>
      <c r="I133" s="5" t="inlineStr">
        <is>
          <t>table2</t>
        </is>
      </c>
    </row>
    <row r="134">
      <c r="A134" s="5" t="inlineStr">
        <is>
          <t>polystyrene</t>
        </is>
      </c>
      <c r="B134" s="5" t="inlineStr">
        <is>
          <t>benzene</t>
        </is>
      </c>
      <c r="C134" s="6" t="inlineStr">
        <is>
          <t>Not found</t>
        </is>
      </c>
      <c r="D134" s="6" t="n">
        <v>-7.718505297869414</v>
      </c>
      <c r="E134" s="6" t="n">
        <v>0.5283</v>
      </c>
      <c r="F134" s="6">
        <f>IF(AND(OR(LEFT($C$3, 3)="All", $C$3="", $C$3=A134, AND(LEFT($C$3, LEN(A134))=A134, MID($C$3, LEN(A134)+1, 2)=" (")), OR(LEFT($C$4, 3)="All", $C$4="", $C$4=B134, AND(LEFT($C$4, LEN(B134))=B134, MID($C$4, LEN(B134)+1, 2)=" ("))), D134-E134*3, NA())</f>
        <v/>
      </c>
      <c r="G134" s="6">
        <f>IF(AND(OR(LEFT($C$3, 3)="All", $C$3="", $C$3=A134, AND(LEFT($C$3, LEN(A134))=A134, MID($C$3, LEN(A134)+1, 2)=" (")), OR(LEFT($C$4, 3)="All", $C$4="", $C$4=B134, AND(LEFT($C$4, LEN(B134))=B134, MID($C$4, LEN(B134)+1, 2)=" ("))), D134-E134*6, NA())</f>
        <v/>
      </c>
      <c r="H134" s="5" t="inlineStr">
        <is>
          <t>2023 - The Universal Calibration for Structure- and Solvent-Independent Molar Mass Determinations of Polymers Using Diffusion-Ordered Spectroscopy</t>
        </is>
      </c>
      <c r="I134" s="5" t="inlineStr">
        <is>
          <t>table1</t>
        </is>
      </c>
    </row>
    <row r="135">
      <c r="A135" s="5" t="inlineStr">
        <is>
          <t>polystyrene</t>
        </is>
      </c>
      <c r="B135" s="5" t="inlineStr">
        <is>
          <t>benzene</t>
        </is>
      </c>
      <c r="C135" s="6" t="inlineStr">
        <is>
          <t>Not found</t>
        </is>
      </c>
      <c r="D135" s="6" t="n">
        <v>-7.594397544790686</v>
      </c>
      <c r="E135" s="6" t="n">
        <v>0.56041</v>
      </c>
      <c r="F135" s="6">
        <f>IF(AND(OR(LEFT($C$3, 3)="All", $C$3="", $C$3=A135, AND(LEFT($C$3, LEN(A135))=A135, MID($C$3, LEN(A135)+1, 2)=" (")), OR(LEFT($C$4, 3)="All", $C$4="", $C$4=B135, AND(LEFT($C$4, LEN(B135))=B135, MID($C$4, LEN(B135)+1, 2)=" ("))), D135-E135*3, NA())</f>
        <v/>
      </c>
      <c r="G135" s="6">
        <f>IF(AND(OR(LEFT($C$3, 3)="All", $C$3="", $C$3=A135, AND(LEFT($C$3, LEN(A135))=A135, MID($C$3, LEN(A135)+1, 2)=" (")), OR(LEFT($C$4, 3)="All", $C$4="", $C$4=B135, AND(LEFT($C$4, LEN(B135))=B135, MID($C$4, LEN(B135)+1, 2)=" ("))), D135-E135*6, NA())</f>
        <v/>
      </c>
      <c r="H135" s="5" t="inlineStr">
        <is>
          <t>2024 - Molar Mass Determination for Small and Large Molecules Using Diffusion-Ordered Spectroscopy - SI</t>
        </is>
      </c>
      <c r="I135" s="5" t="inlineStr">
        <is>
          <t>table8</t>
        </is>
      </c>
    </row>
    <row r="136">
      <c r="A136" s="5" t="inlineStr">
        <is>
          <t>polystyrene</t>
        </is>
      </c>
      <c r="B136" s="5" t="inlineStr">
        <is>
          <t>chloroform-d</t>
        </is>
      </c>
      <c r="C136" s="6" t="inlineStr">
        <is>
          <t>Not found</t>
        </is>
      </c>
      <c r="D136" s="6" t="n">
        <v>-7.97</v>
      </c>
      <c r="E136" s="6" t="n">
        <v>0.46</v>
      </c>
      <c r="F136" s="6">
        <f>IF(AND(OR(LEFT($C$3, 3)="All", $C$3="", $C$3=A136, AND(LEFT($C$3, LEN(A136))=A136, MID($C$3, LEN(A136)+1, 2)=" (")), OR(LEFT($C$4, 3)="All", $C$4="", $C$4=B136, AND(LEFT($C$4, LEN(B136))=B136, MID($C$4, LEN(B136)+1, 2)=" ("))), D136-E136*3, NA())</f>
        <v/>
      </c>
      <c r="G136" s="6">
        <f>IF(AND(OR(LEFT($C$3, 3)="All", $C$3="", $C$3=A136, AND(LEFT($C$3, LEN(A136))=A136, MID($C$3, LEN(A136)+1, 2)=" (")), OR(LEFT($C$4, 3)="All", $C$4="", $C$4=B136, AND(LEFT($C$4, LEN(B136))=B136, MID($C$4, LEN(B136)+1, 2)=" ("))), D136-E136*6, NA())</f>
        <v/>
      </c>
      <c r="H136" s="5" t="inlineStr">
        <is>
          <t>2021 - Solvent‐Independent Molecular Weight Determination of Polymers Based on a Truly  Universal Calibration</t>
        </is>
      </c>
      <c r="I136" s="5" t="inlineStr">
        <is>
          <t>table2</t>
        </is>
      </c>
    </row>
    <row r="137">
      <c r="A137" s="5" t="inlineStr">
        <is>
          <t>polystyrene</t>
        </is>
      </c>
      <c r="B137" s="5" t="inlineStr">
        <is>
          <t>chloroform-d</t>
        </is>
      </c>
      <c r="C137" s="6" t="inlineStr">
        <is>
          <t>Not found</t>
        </is>
      </c>
      <c r="D137" s="6" t="n">
        <v>-7.630222150689829</v>
      </c>
      <c r="E137" s="6" t="n">
        <v>0.534677</v>
      </c>
      <c r="F137" s="6">
        <f>IF(AND(OR(LEFT($C$3, 3)="All", $C$3="", $C$3=A137, AND(LEFT($C$3, LEN(A137))=A137, MID($C$3, LEN(A137)+1, 2)=" (")), OR(LEFT($C$4, 3)="All", $C$4="", $C$4=B137, AND(LEFT($C$4, LEN(B137))=B137, MID($C$4, LEN(B137)+1, 2)=" ("))), D137-E137*3, NA())</f>
        <v/>
      </c>
      <c r="G137" s="6">
        <f>IF(AND(OR(LEFT($C$3, 3)="All", $C$3="", $C$3=A137, AND(LEFT($C$3, LEN(A137))=A137, MID($C$3, LEN(A137)+1, 2)=" (")), OR(LEFT($C$4, 3)="All", $C$4="", $C$4=B137, AND(LEFT($C$4, LEN(B137))=B137, MID($C$4, LEN(B137)+1, 2)=" ("))), D137-E137*6, NA())</f>
        <v/>
      </c>
      <c r="H137" s="5" t="inlineStr">
        <is>
          <t>2023 - The Universal Calibration for Structure- and Solvent-Independent Molar Mass Determinations of Polymers Using Diffusion-Ordered Spectroscopy</t>
        </is>
      </c>
      <c r="I137" s="5" t="inlineStr">
        <is>
          <t>table1</t>
        </is>
      </c>
    </row>
    <row r="138">
      <c r="A138" s="5" t="inlineStr">
        <is>
          <t>polystyrene</t>
        </is>
      </c>
      <c r="B138" s="5" t="inlineStr">
        <is>
          <t>chloroform-d</t>
        </is>
      </c>
      <c r="C138" s="6" t="inlineStr">
        <is>
          <t>Not found</t>
        </is>
      </c>
      <c r="D138" s="6" t="n">
        <v>-7.523371224817643</v>
      </c>
      <c r="E138" s="6" t="n">
        <v>0.5623899999999999</v>
      </c>
      <c r="F138" s="6">
        <f>IF(AND(OR(LEFT($C$3, 3)="All", $C$3="", $C$3=A138, AND(LEFT($C$3, LEN(A138))=A138, MID($C$3, LEN(A138)+1, 2)=" (")), OR(LEFT($C$4, 3)="All", $C$4="", $C$4=B138, AND(LEFT($C$4, LEN(B138))=B138, MID($C$4, LEN(B138)+1, 2)=" ("))), D138-E138*3, NA())</f>
        <v/>
      </c>
      <c r="G138" s="6">
        <f>IF(AND(OR(LEFT($C$3, 3)="All", $C$3="", $C$3=A138, AND(LEFT($C$3, LEN(A138))=A138, MID($C$3, LEN(A138)+1, 2)=" (")), OR(LEFT($C$4, 3)="All", $C$4="", $C$4=B138, AND(LEFT($C$4, LEN(B138))=B138, MID($C$4, LEN(B138)+1, 2)=" ("))), D138-E138*6, NA())</f>
        <v/>
      </c>
      <c r="H138" s="5" t="inlineStr">
        <is>
          <t>2024 - Molar Mass Determination for Small and Large Molecules Using Diffusion-Ordered Spectroscopy - SI</t>
        </is>
      </c>
      <c r="I138" s="5" t="inlineStr">
        <is>
          <t>table8</t>
        </is>
      </c>
    </row>
    <row r="139">
      <c r="A139" s="5" t="inlineStr">
        <is>
          <t>polystyrene</t>
        </is>
      </c>
      <c r="B139" s="5" t="inlineStr">
        <is>
          <t>dichloromethane</t>
        </is>
      </c>
      <c r="C139" s="6" t="inlineStr">
        <is>
          <t>Not found</t>
        </is>
      </c>
      <c r="D139" s="6" t="n">
        <v>-7.56166654250548</v>
      </c>
      <c r="E139" s="6" t="n">
        <v>0.5214530000000001</v>
      </c>
      <c r="F139" s="6">
        <f>IF(AND(OR(LEFT($C$3, 3)="All", $C$3="", $C$3=A139, AND(LEFT($C$3, LEN(A139))=A139, MID($C$3, LEN(A139)+1, 2)=" (")), OR(LEFT($C$4, 3)="All", $C$4="", $C$4=B139, AND(LEFT($C$4, LEN(B139))=B139, MID($C$4, LEN(B139)+1, 2)=" ("))), D139-E139*3, NA())</f>
        <v/>
      </c>
      <c r="G139" s="6">
        <f>IF(AND(OR(LEFT($C$3, 3)="All", $C$3="", $C$3=A139, AND(LEFT($C$3, LEN(A139))=A139, MID($C$3, LEN(A139)+1, 2)=" (")), OR(LEFT($C$4, 3)="All", $C$4="", $C$4=B139, AND(LEFT($C$4, LEN(B139))=B139, MID($C$4, LEN(B139)+1, 2)=" ("))), D139-E139*6, NA())</f>
        <v/>
      </c>
      <c r="H139" s="5" t="inlineStr">
        <is>
          <t>2023 - The Universal Calibration for Structure- and Solvent-Independent Molar Mass Determinations of Polymers Using Diffusion-Ordered Spectroscopy</t>
        </is>
      </c>
      <c r="I139" s="5" t="inlineStr">
        <is>
          <t>table1</t>
        </is>
      </c>
    </row>
    <row r="140">
      <c r="A140" s="5" t="inlineStr">
        <is>
          <t>polystyrene</t>
        </is>
      </c>
      <c r="B140" s="5" t="inlineStr">
        <is>
          <t>dichloromethane</t>
        </is>
      </c>
      <c r="C140" s="6" t="inlineStr">
        <is>
          <t>Not found</t>
        </is>
      </c>
      <c r="D140" s="6" t="n">
        <v>-7.406713932979542</v>
      </c>
      <c r="E140" s="6" t="n">
        <v>0.56162</v>
      </c>
      <c r="F140" s="6">
        <f>IF(AND(OR(LEFT($C$3, 3)="All", $C$3="", $C$3=A140, AND(LEFT($C$3, LEN(A140))=A140, MID($C$3, LEN(A140)+1, 2)=" (")), OR(LEFT($C$4, 3)="All", $C$4="", $C$4=B140, AND(LEFT($C$4, LEN(B140))=B140, MID($C$4, LEN(B140)+1, 2)=" ("))), D140-E140*3, NA())</f>
        <v/>
      </c>
      <c r="G140" s="6">
        <f>IF(AND(OR(LEFT($C$3, 3)="All", $C$3="", $C$3=A140, AND(LEFT($C$3, LEN(A140))=A140, MID($C$3, LEN(A140)+1, 2)=" (")), OR(LEFT($C$4, 3)="All", $C$4="", $C$4=B140, AND(LEFT($C$4, LEN(B140))=B140, MID($C$4, LEN(B140)+1, 2)=" ("))), D140-E140*6, NA())</f>
        <v/>
      </c>
      <c r="H140" s="5" t="inlineStr">
        <is>
          <t>2024 - Molar Mass Determination for Small and Large Molecules Using Diffusion-Ordered Spectroscopy - SI</t>
        </is>
      </c>
      <c r="I140" s="5" t="inlineStr">
        <is>
          <t>table8</t>
        </is>
      </c>
    </row>
    <row r="141">
      <c r="A141" s="5" t="inlineStr">
        <is>
          <t>polystyrene</t>
        </is>
      </c>
      <c r="B141" s="5" t="inlineStr">
        <is>
          <t>tetrahydrofuran</t>
        </is>
      </c>
      <c r="C141" s="6" t="inlineStr">
        <is>
          <t>Not found</t>
        </is>
      </c>
      <c r="D141" s="6" t="n">
        <v>-8.07</v>
      </c>
      <c r="E141" s="6" t="n">
        <v>0.42</v>
      </c>
      <c r="F141" s="6">
        <f>IF(AND(OR(LEFT($C$3, 3)="All", $C$3="", $C$3=A141, AND(LEFT($C$3, LEN(A141))=A141, MID($C$3, LEN(A141)+1, 2)=" (")), OR(LEFT($C$4, 3)="All", $C$4="", $C$4=B141, AND(LEFT($C$4, LEN(B141))=B141, MID($C$4, LEN(B141)+1, 2)=" ("))), D141-E141*3, NA())</f>
        <v/>
      </c>
      <c r="G141" s="6">
        <f>IF(AND(OR(LEFT($C$3, 3)="All", $C$3="", $C$3=A141, AND(LEFT($C$3, LEN(A141))=A141, MID($C$3, LEN(A141)+1, 2)=" (")), OR(LEFT($C$4, 3)="All", $C$4="", $C$4=B141, AND(LEFT($C$4, LEN(B141))=B141, MID($C$4, LEN(B141)+1, 2)=" ("))), D141-E141*6, NA())</f>
        <v/>
      </c>
      <c r="H141" s="5" t="inlineStr">
        <is>
          <t>2021 - Solvent‐Independent Molecular Weight Determination of Polymers Based on a Truly  Universal Calibration</t>
        </is>
      </c>
      <c r="I141" s="5" t="inlineStr">
        <is>
          <t>table2</t>
        </is>
      </c>
    </row>
    <row r="142">
      <c r="A142" s="5" t="inlineStr">
        <is>
          <t>polystyrene</t>
        </is>
      </c>
      <c r="B142" s="5" t="inlineStr">
        <is>
          <t>tetrahydrofuran</t>
        </is>
      </c>
      <c r="C142" s="6" t="inlineStr">
        <is>
          <t>Not found</t>
        </is>
      </c>
      <c r="D142" s="6" t="n">
        <v>-7.655839673984551</v>
      </c>
      <c r="E142" s="6" t="n">
        <v>0.519361</v>
      </c>
      <c r="F142" s="6">
        <f>IF(AND(OR(LEFT($C$3, 3)="All", $C$3="", $C$3=A142, AND(LEFT($C$3, LEN(A142))=A142, MID($C$3, LEN(A142)+1, 2)=" (")), OR(LEFT($C$4, 3)="All", $C$4="", $C$4=B142, AND(LEFT($C$4, LEN(B142))=B142, MID($C$4, LEN(B142)+1, 2)=" ("))), D142-E142*3, NA())</f>
        <v/>
      </c>
      <c r="G142" s="6">
        <f>IF(AND(OR(LEFT($C$3, 3)="All", $C$3="", $C$3=A142, AND(LEFT($C$3, LEN(A142))=A142, MID($C$3, LEN(A142)+1, 2)=" (")), OR(LEFT($C$4, 3)="All", $C$4="", $C$4=B142, AND(LEFT($C$4, LEN(B142))=B142, MID($C$4, LEN(B142)+1, 2)=" ("))), D142-E142*6, NA())</f>
        <v/>
      </c>
      <c r="H142" s="5" t="inlineStr">
        <is>
          <t>2023 - The Universal Calibration for Structure- and Solvent-Independent Molar Mass Determinations of Polymers Using Diffusion-Ordered Spectroscopy</t>
        </is>
      </c>
      <c r="I142" s="5" t="inlineStr">
        <is>
          <t>table1</t>
        </is>
      </c>
    </row>
    <row r="143">
      <c r="A143" s="5" t="inlineStr">
        <is>
          <t>polystyrene</t>
        </is>
      </c>
      <c r="B143" s="5" t="inlineStr">
        <is>
          <t>tetrahydrofuran</t>
        </is>
      </c>
      <c r="C143" s="6" t="inlineStr">
        <is>
          <t>Not found</t>
        </is>
      </c>
      <c r="D143" s="6" t="n">
        <v>-7.497627511688311</v>
      </c>
      <c r="E143" s="6" t="n">
        <v>0.5604</v>
      </c>
      <c r="F143" s="6">
        <f>IF(AND(OR(LEFT($C$3, 3)="All", $C$3="", $C$3=A143, AND(LEFT($C$3, LEN(A143))=A143, MID($C$3, LEN(A143)+1, 2)=" (")), OR(LEFT($C$4, 3)="All", $C$4="", $C$4=B143, AND(LEFT($C$4, LEN(B143))=B143, MID($C$4, LEN(B143)+1, 2)=" ("))), D143-E143*3, NA())</f>
        <v/>
      </c>
      <c r="G143" s="6">
        <f>IF(AND(OR(LEFT($C$3, 3)="All", $C$3="", $C$3=A143, AND(LEFT($C$3, LEN(A143))=A143, MID($C$3, LEN(A143)+1, 2)=" (")), OR(LEFT($C$4, 3)="All", $C$4="", $C$4=B143, AND(LEFT($C$4, LEN(B143))=B143, MID($C$4, LEN(B143)+1, 2)=" ("))), D143-E143*6, NA())</f>
        <v/>
      </c>
      <c r="H143" s="5" t="inlineStr">
        <is>
          <t>2024 - Molar Mass Determination for Small and Large Molecules Using Diffusion-Ordered Spectroscopy - SI</t>
        </is>
      </c>
      <c r="I143" s="5" t="inlineStr">
        <is>
          <t>table8</t>
        </is>
      </c>
    </row>
    <row r="144">
      <c r="A144" s="5" t="inlineStr">
        <is>
          <t>polystyrene</t>
        </is>
      </c>
      <c r="B144" s="5" t="inlineStr">
        <is>
          <t>toluene</t>
        </is>
      </c>
      <c r="C144" s="6" t="inlineStr">
        <is>
          <t>Not found</t>
        </is>
      </c>
      <c r="D144" s="6" t="n">
        <v>-7.82</v>
      </c>
      <c r="E144" s="6" t="n">
        <v>0.51</v>
      </c>
      <c r="F144" s="6">
        <f>IF(AND(OR(LEFT($C$3, 3)="All", $C$3="", $C$3=A144, AND(LEFT($C$3, LEN(A144))=A144, MID($C$3, LEN(A144)+1, 2)=" (")), OR(LEFT($C$4, 3)="All", $C$4="", $C$4=B144, AND(LEFT($C$4, LEN(B144))=B144, MID($C$4, LEN(B144)+1, 2)=" ("))), D144-E144*3, NA())</f>
        <v/>
      </c>
      <c r="G144" s="6">
        <f>IF(AND(OR(LEFT($C$3, 3)="All", $C$3="", $C$3=A144, AND(LEFT($C$3, LEN(A144))=A144, MID($C$3, LEN(A144)+1, 2)=" (")), OR(LEFT($C$4, 3)="All", $C$4="", $C$4=B144, AND(LEFT($C$4, LEN(B144))=B144, MID($C$4, LEN(B144)+1, 2)=" ("))), D144-E144*6, NA())</f>
        <v/>
      </c>
      <c r="H144" s="5" t="inlineStr">
        <is>
          <t>2021 - Solvent‐Independent Molecular Weight Determination of Polymers Based on a Truly  Universal Calibration</t>
        </is>
      </c>
      <c r="I144" s="5" t="inlineStr">
        <is>
          <t>table2</t>
        </is>
      </c>
    </row>
    <row r="145">
      <c r="A145" s="5" t="inlineStr">
        <is>
          <t>polystyrene</t>
        </is>
      </c>
      <c r="B145" s="5" t="inlineStr">
        <is>
          <t>toluene</t>
        </is>
      </c>
      <c r="C145" s="6" t="inlineStr">
        <is>
          <t>Not found</t>
        </is>
      </c>
      <c r="D145" s="6" t="n">
        <v>-7.670077622607558</v>
      </c>
      <c r="E145" s="6" t="n">
        <v>0.531065</v>
      </c>
      <c r="F145" s="6">
        <f>IF(AND(OR(LEFT($C$3, 3)="All", $C$3="", $C$3=A145, AND(LEFT($C$3, LEN(A145))=A145, MID($C$3, LEN(A145)+1, 2)=" (")), OR(LEFT($C$4, 3)="All", $C$4="", $C$4=B145, AND(LEFT($C$4, LEN(B145))=B145, MID($C$4, LEN(B145)+1, 2)=" ("))), D145-E145*3, NA())</f>
        <v/>
      </c>
      <c r="G145" s="6">
        <f>IF(AND(OR(LEFT($C$3, 3)="All", $C$3="", $C$3=A145, AND(LEFT($C$3, LEN(A145))=A145, MID($C$3, LEN(A145)+1, 2)=" (")), OR(LEFT($C$4, 3)="All", $C$4="", $C$4=B145, AND(LEFT($C$4, LEN(B145))=B145, MID($C$4, LEN(B145)+1, 2)=" ("))), D145-E145*6, NA())</f>
        <v/>
      </c>
      <c r="H145" s="5" t="inlineStr">
        <is>
          <t>2023 - The Universal Calibration for Structure- and Solvent-Independent Molar Mass Determinations of Polymers Using Diffusion-Ordered Spectroscopy</t>
        </is>
      </c>
      <c r="I145" s="5" t="inlineStr">
        <is>
          <t>table1</t>
        </is>
      </c>
    </row>
    <row r="146">
      <c r="A146" s="5" t="inlineStr">
        <is>
          <t>polystyrene</t>
        </is>
      </c>
      <c r="B146" s="5" t="inlineStr">
        <is>
          <t>toluene</t>
        </is>
      </c>
      <c r="C146" s="6" t="inlineStr">
        <is>
          <t>Not found</t>
        </is>
      </c>
      <c r="D146" s="6" t="n">
        <v>-7.670073559204548</v>
      </c>
      <c r="E146" s="6" t="n">
        <v>0.53106</v>
      </c>
      <c r="F146" s="6">
        <f>IF(AND(OR(LEFT($C$3, 3)="All", $C$3="", $C$3=A146, AND(LEFT($C$3, LEN(A146))=A146, MID($C$3, LEN(A146)+1, 2)=" (")), OR(LEFT($C$4, 3)="All", $C$4="", $C$4=B146, AND(LEFT($C$4, LEN(B146))=B146, MID($C$4, LEN(B146)+1, 2)=" ("))), D146-E146*3, NA())</f>
        <v/>
      </c>
      <c r="G146" s="6">
        <f>IF(AND(OR(LEFT($C$3, 3)="All", $C$3="", $C$3=A146, AND(LEFT($C$3, LEN(A146))=A146, MID($C$3, LEN(A146)+1, 2)=" (")), OR(LEFT($C$4, 3)="All", $C$4="", $C$4=B146, AND(LEFT($C$4, LEN(B146))=B146, MID($C$4, LEN(B146)+1, 2)=" ("))), D146-E146*6, NA())</f>
        <v/>
      </c>
      <c r="H146" s="5" t="inlineStr">
        <is>
          <t>2024 - Molar Mass Determination for Small and Large Molecules Using Diffusion-Ordered Spectroscopy - SI</t>
        </is>
      </c>
      <c r="I146" s="5" t="inlineStr">
        <is>
          <t>table8</t>
        </is>
      </c>
    </row>
    <row r="147">
      <c r="A147" s="5" t="inlineStr">
        <is>
          <t>pullulan</t>
        </is>
      </c>
      <c r="B147" s="5" t="inlineStr">
        <is>
          <t>deuterium oxide</t>
        </is>
      </c>
      <c r="C147" s="6" t="inlineStr">
        <is>
          <t>Not found</t>
        </is>
      </c>
      <c r="D147" s="6" t="n">
        <v>-8.199999999999999</v>
      </c>
      <c r="E147" s="6" t="n">
        <v>0.49</v>
      </c>
      <c r="F147" s="6">
        <f>IF(AND(OR(LEFT($C$3, 3)="All", $C$3="", $C$3=A147, AND(LEFT($C$3, LEN(A147))=A147, MID($C$3, LEN(A147)+1, 2)=" (")), OR(LEFT($C$4, 3)="All", $C$4="", $C$4=B147, AND(LEFT($C$4, LEN(B147))=B147, MID($C$4, LEN(B147)+1, 2)=" ("))), D147-E147*3, NA())</f>
        <v/>
      </c>
      <c r="G147" s="6">
        <f>IF(AND(OR(LEFT($C$3, 3)="All", $C$3="", $C$3=A147, AND(LEFT($C$3, LEN(A147))=A147, MID($C$3, LEN(A147)+1, 2)=" (")), OR(LEFT($C$4, 3)="All", $C$4="", $C$4=B147, AND(LEFT($C$4, LEN(B147))=B147, MID($C$4, LEN(B147)+1, 2)=" ("))), D147-E147*6, NA())</f>
        <v/>
      </c>
      <c r="H147" s="5" t="inlineStr">
        <is>
          <t>2021 - Solvent‐Independent Molecular Weight Determination of Polymers Based on a Truly  Universal Calibration</t>
        </is>
      </c>
      <c r="I147" s="5" t="inlineStr">
        <is>
          <t>table1</t>
        </is>
      </c>
    </row>
  </sheetData>
  <autoFilter ref="A69:I147"/>
  <mergeCells count="1">
    <mergeCell ref="B2:C2"/>
  </mergeCells>
  <dataValidations count="2">
    <dataValidation sqref="C3" showDropDown="0" showInputMessage="0" showErrorMessage="0" allowBlank="1" type="list">
      <formula1>=Polymers!$O$2:$O$12</formula1>
    </dataValidation>
    <dataValidation sqref="C4" showDropDown="0" showInputMessage="0" showErrorMessage="0" allowBlank="1" type="list">
      <formula1>=Polymers!$N$2:$N$14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3" t="inlineStr">
        <is>
          <t>Solvent Identification Failure, D Value Out of Range</t>
        </is>
      </c>
      <c r="M2" s="14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3" t="inlineStr">
        <is>
          <t>Solvent Identification Failure, D Value Out of Range</t>
        </is>
      </c>
      <c r="M3" s="14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inlineStr">
        <is>
          <t>Not found</t>
        </is>
      </c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3" t="inlineStr">
        <is>
          <t>Solvent Identification Failure, D Value Out of Range</t>
        </is>
      </c>
      <c r="M4" s="14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3" t="inlineStr">
        <is>
          <t>Solvent Identification Failure, D Value Out of Range</t>
        </is>
      </c>
      <c r="M5" s="14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inlineStr">
        <is>
          <t>Not found</t>
        </is>
      </c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4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Not found</t>
        </is>
      </c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5" t="inlineStr">
        <is>
          <t>Solvent Identification Failure</t>
        </is>
      </c>
      <c r="M7" s="14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inlineStr">
        <is>
          <t>Not found</t>
        </is>
      </c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3" t="inlineStr">
        <is>
          <t>Solvent Identification Failure, c_value Not Found, Polymer Identification Failure</t>
        </is>
      </c>
      <c r="M8" s="14" t="inlineStr">
        <is>
          <t>Temperature Missing/Invalid</t>
        </is>
      </c>
      <c r="N8" s="16" t="n"/>
      <c r="O8" s="16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3" t="inlineStr">
        <is>
          <t>Solvent Identification Failure, c_value Not Found, Polymer Identification Failure</t>
        </is>
      </c>
      <c r="M9" s="14" t="inlineStr">
        <is>
          <t>Temperature Missing/Invalid</t>
        </is>
      </c>
      <c r="N9" s="16" t="n"/>
      <c r="O9" s="16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inlineStr">
        <is>
          <t>Not found</t>
        </is>
      </c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3" t="inlineStr">
        <is>
          <t>Solvent Identification Failure, c_value Not Found</t>
        </is>
      </c>
      <c r="M10" s="14" t="inlineStr">
        <is>
          <t>Temperature Missing/Invalid</t>
        </is>
      </c>
      <c r="N10" s="16" t="n"/>
      <c r="O10" s="16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3" t="inlineStr">
        <is>
          <t>Solvent Identification Failure, c_value Not Found</t>
        </is>
      </c>
      <c r="M11" s="14" t="inlineStr">
        <is>
          <t>Temperature Missing/Invalid</t>
        </is>
      </c>
      <c r="N11" s="16" t="n"/>
      <c r="O11" s="16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inlineStr">
        <is>
          <t>Not found</t>
        </is>
      </c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3" t="inlineStr">
        <is>
          <t>c_value Not Found</t>
        </is>
      </c>
      <c r="M12" s="14" t="inlineStr">
        <is>
          <t>Temperature Missing/Invalid</t>
        </is>
      </c>
      <c r="N12" s="16" t="n"/>
      <c r="O12" s="16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inlineStr">
        <is>
          <t>Not found</t>
        </is>
      </c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3" t="inlineStr">
        <is>
          <t>c_value Not Found</t>
        </is>
      </c>
      <c r="M13" s="14" t="inlineStr">
        <is>
          <t>Temperature Missing/Invalid</t>
        </is>
      </c>
      <c r="N13" s="16" t="n"/>
      <c r="O13" s="16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inlineStr">
        <is>
          <t>Not found</t>
        </is>
      </c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3" t="inlineStr">
        <is>
          <t>c_value Not Found</t>
        </is>
      </c>
      <c r="M14" s="14" t="inlineStr">
        <is>
          <t>Temperature Missing/Invalid</t>
        </is>
      </c>
      <c r="N14" s="16" t="n"/>
      <c r="O14" s="16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inlineStr">
        <is>
          <t>Not found</t>
        </is>
      </c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3" t="inlineStr">
        <is>
          <t>c_value Not Found</t>
        </is>
      </c>
      <c r="M15" s="14" t="inlineStr">
        <is>
          <t>Temperature Missing/Invalid</t>
        </is>
      </c>
      <c r="N15" s="16" t="n"/>
      <c r="O15" s="16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inlineStr">
        <is>
          <t>Not found</t>
        </is>
      </c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3" t="inlineStr">
        <is>
          <t>c_value Not Found</t>
        </is>
      </c>
      <c r="M16" s="14" t="inlineStr">
        <is>
          <t>Temperature Missing/Invalid</t>
        </is>
      </c>
      <c r="N16" s="16" t="n"/>
      <c r="O16" s="16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3" t="inlineStr">
        <is>
          <t>Solvent Identification Failure, c_value Not Found</t>
        </is>
      </c>
      <c r="M17" s="14" t="inlineStr">
        <is>
          <t>Temperature Missing/Invalid</t>
        </is>
      </c>
      <c r="N17" s="16" t="n"/>
      <c r="O17" s="16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3" t="inlineStr">
        <is>
          <t>D Value Out of Range</t>
        </is>
      </c>
      <c r="M18" s="14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inlineStr">
        <is>
          <t>Not found</t>
        </is>
      </c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3" t="inlineStr">
        <is>
          <t>c_value Not Found</t>
        </is>
      </c>
      <c r="M19" s="14" t="inlineStr">
        <is>
          <t>Temperature Missing/Invalid</t>
        </is>
      </c>
      <c r="N19" s="16" t="n"/>
      <c r="O19" s="16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inlineStr">
        <is>
          <t>Not found</t>
        </is>
      </c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3" t="inlineStr">
        <is>
          <t>c_value Not Found, Polymer Identification Failure</t>
        </is>
      </c>
      <c r="M20" s="14" t="inlineStr">
        <is>
          <t>Temperature Missing/Invalid</t>
        </is>
      </c>
      <c r="N20" s="16" t="n"/>
      <c r="O20" s="16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inlineStr">
        <is>
          <t>Not found</t>
        </is>
      </c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3" t="inlineStr">
        <is>
          <t>c_value Not Found</t>
        </is>
      </c>
      <c r="M21" s="14" t="inlineStr">
        <is>
          <t>Temperature Missing/Invalid</t>
        </is>
      </c>
      <c r="N21" s="16" t="n"/>
      <c r="O21" s="16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inlineStr">
        <is>
          <t>Not found</t>
        </is>
      </c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3" t="inlineStr">
        <is>
          <t>c_value Not Found</t>
        </is>
      </c>
      <c r="M22" s="14" t="inlineStr">
        <is>
          <t>Temperature Missing/Invalid</t>
        </is>
      </c>
      <c r="N22" s="16" t="n"/>
      <c r="O22" s="16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inlineStr">
        <is>
          <t>Not found</t>
        </is>
      </c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3" t="inlineStr">
        <is>
          <t>c_value Not Found, Polymer Identification Failure</t>
        </is>
      </c>
      <c r="M23" s="14" t="inlineStr">
        <is>
          <t>Temperature Missing/Invalid</t>
        </is>
      </c>
      <c r="N23" s="16" t="n"/>
      <c r="O23" s="16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inlineStr">
        <is>
          <t>Not found</t>
        </is>
      </c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3" t="inlineStr">
        <is>
          <t>Solvent Identification Failure, c_value Not Found</t>
        </is>
      </c>
      <c r="M24" s="14" t="inlineStr">
        <is>
          <t>Temperature Missing/Invalid</t>
        </is>
      </c>
      <c r="N24" s="16" t="n"/>
      <c r="O24" s="16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3" t="inlineStr">
        <is>
          <t>D Value Out of Range</t>
        </is>
      </c>
      <c r="M25" s="14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inlineStr">
        <is>
          <t>Not found</t>
        </is>
      </c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3" t="inlineStr">
        <is>
          <t>Solvent Identification Failure, c_value Not Found</t>
        </is>
      </c>
      <c r="M26" s="14" t="inlineStr">
        <is>
          <t>Temperature Missing/Invalid</t>
        </is>
      </c>
      <c r="N26" s="16" t="n"/>
      <c r="O26" s="16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inlineStr">
        <is>
          <t>Not found</t>
        </is>
      </c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3" t="inlineStr">
        <is>
          <t>c_value Not Found</t>
        </is>
      </c>
      <c r="M27" s="14" t="inlineStr">
        <is>
          <t>Temperature Missing/Invalid</t>
        </is>
      </c>
      <c r="N27" s="16" t="n"/>
      <c r="O27" s="16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inlineStr">
        <is>
          <t>Not found</t>
        </is>
      </c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3" t="inlineStr">
        <is>
          <t>c_value Not Found</t>
        </is>
      </c>
      <c r="M28" s="14" t="inlineStr">
        <is>
          <t>Temperature Missing/Invalid</t>
        </is>
      </c>
      <c r="N28" s="16" t="n"/>
      <c r="O28" s="16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3" t="inlineStr">
        <is>
          <t>D Value Out of Range</t>
        </is>
      </c>
      <c r="M29" s="14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inlineStr">
        <is>
          <t>Not found</t>
        </is>
      </c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3" t="inlineStr">
        <is>
          <t>Solvent Identification Failure, c_value Not Found, Polymer Identification Failure</t>
        </is>
      </c>
      <c r="M30" s="14" t="inlineStr">
        <is>
          <t>Temperature Missing/Invalid</t>
        </is>
      </c>
      <c r="N30" s="16" t="n"/>
      <c r="O30" s="16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5" t="inlineStr">
        <is>
          <t>Solvent Identification Failure</t>
        </is>
      </c>
      <c r="M31" s="14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5" t="inlineStr">
        <is>
          <t>Solvent Identification Failure</t>
        </is>
      </c>
      <c r="M32" s="14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5" t="inlineStr">
        <is>
          <t>Solvent Identification Failure</t>
        </is>
      </c>
      <c r="M33" s="14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3" t="inlineStr">
        <is>
          <t>Solvent Identification Failure, D Value Out of Range</t>
        </is>
      </c>
      <c r="M34" s="14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3" t="inlineStr">
        <is>
          <t>Solvent Identification Failure, D Value Out of Range</t>
        </is>
      </c>
      <c r="M35" s="14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3" t="inlineStr">
        <is>
          <t>Solvent Identification Failure, D Value Out of Range</t>
        </is>
      </c>
      <c r="M36" s="14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3" t="inlineStr">
        <is>
          <t>Solvent Identification Failure, D Value Out of Range</t>
        </is>
      </c>
      <c r="M37" s="14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3" t="inlineStr">
        <is>
          <t>Solvent Identification Failure, Polymer Identification Failure, D Value Out of Range</t>
        </is>
      </c>
      <c r="M38" s="14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3" t="inlineStr">
        <is>
          <t>Solvent Identification Failure, c_value Not Found</t>
        </is>
      </c>
      <c r="M39" s="14" t="inlineStr">
        <is>
          <t>Temperature Missing/Invalid</t>
        </is>
      </c>
      <c r="N39" s="16" t="n"/>
      <c r="O39" s="16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inlineStr">
        <is>
          <t>Not found</t>
        </is>
      </c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3" t="inlineStr">
        <is>
          <t>c_value Not Found</t>
        </is>
      </c>
      <c r="M40" s="14" t="inlineStr">
        <is>
          <t>Temperature Missing/Invalid</t>
        </is>
      </c>
      <c r="N40" s="16" t="n"/>
      <c r="O40" s="16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inlineStr">
        <is>
          <t>Not found</t>
        </is>
      </c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3" t="inlineStr">
        <is>
          <t>c_value Not Found</t>
        </is>
      </c>
      <c r="M41" s="14" t="inlineStr">
        <is>
          <t>Temperature Missing/Invalid</t>
        </is>
      </c>
      <c r="N41" s="16" t="n"/>
      <c r="O41" s="16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inlineStr">
        <is>
          <t>Not found</t>
        </is>
      </c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3" t="inlineStr">
        <is>
          <t>c_value Not Found</t>
        </is>
      </c>
      <c r="M42" s="14" t="inlineStr">
        <is>
          <t>Temperature Missing/Invalid</t>
        </is>
      </c>
      <c r="N42" s="16" t="n"/>
      <c r="O42" s="16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inlineStr">
        <is>
          <t>Not found</t>
        </is>
      </c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3" t="inlineStr">
        <is>
          <t>c_value Not Found</t>
        </is>
      </c>
      <c r="M43" s="14" t="inlineStr">
        <is>
          <t>Temperature Missing/Invalid</t>
        </is>
      </c>
      <c r="N43" s="16" t="n"/>
      <c r="O43" s="16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5" t="inlineStr">
        <is>
          <t>Solvent Identification Failure</t>
        </is>
      </c>
      <c r="M44" s="14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5" t="inlineStr">
        <is>
          <t>Solvent Identification Failure</t>
        </is>
      </c>
      <c r="M45" s="14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5" t="inlineStr">
        <is>
          <t>Solvent Identification Failure</t>
        </is>
      </c>
      <c r="M46" s="14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5" t="inlineStr">
        <is>
          <t>Solvent Identification Failure</t>
        </is>
      </c>
      <c r="M47" s="14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5" t="inlineStr">
        <is>
          <t>Solvent Identification Failure</t>
        </is>
      </c>
      <c r="M48" s="14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3" t="inlineStr">
        <is>
          <t>Solvent Identification Failure, v_value Out of Range</t>
        </is>
      </c>
      <c r="M49" s="14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inlineStr">
        <is>
          <t>Not found</t>
        </is>
      </c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3" t="inlineStr">
        <is>
          <t>c_value Not Found</t>
        </is>
      </c>
      <c r="M50" s="14" t="inlineStr">
        <is>
          <t>Temperature Missing/Invalid</t>
        </is>
      </c>
      <c r="N50" s="16" t="n"/>
      <c r="O50" s="16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4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4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4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4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4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4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inlineStr">
        <is>
          <t>Not found</t>
        </is>
      </c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4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inlineStr">
        <is>
          <t>Not found</t>
        </is>
      </c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4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inlineStr">
        <is>
          <t>Not found</t>
        </is>
      </c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4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inlineStr">
        <is>
          <t>Not found</t>
        </is>
      </c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4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inlineStr">
        <is>
          <t>Not found</t>
        </is>
      </c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4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inlineStr">
        <is>
          <t>Not found</t>
        </is>
      </c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4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inlineStr">
        <is>
          <t>Not found</t>
        </is>
      </c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4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inlineStr">
        <is>
          <t>Not found</t>
        </is>
      </c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4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inlineStr">
        <is>
          <t>Not found</t>
        </is>
      </c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4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inlineStr">
        <is>
          <t>Not found</t>
        </is>
      </c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4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inlineStr">
        <is>
          <t>Not found</t>
        </is>
      </c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4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inlineStr">
        <is>
          <t>Not found</t>
        </is>
      </c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4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Not found</t>
        </is>
      </c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5" t="inlineStr">
        <is>
          <t>Solvent Identification Failure</t>
        </is>
      </c>
      <c r="M69" s="14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inlineStr">
        <is>
          <t>Not found</t>
        </is>
      </c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5" t="inlineStr">
        <is>
          <t>Solvent Identification Failure</t>
        </is>
      </c>
      <c r="M70" s="14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Not found</t>
        </is>
      </c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5" t="inlineStr">
        <is>
          <t>Solvent Identification Failure</t>
        </is>
      </c>
      <c r="M71" s="14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inlineStr">
        <is>
          <t>Not found</t>
        </is>
      </c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4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inlineStr">
        <is>
          <t>Not found</t>
        </is>
      </c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4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inlineStr">
        <is>
          <t>Not found</t>
        </is>
      </c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4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inlineStr">
        <is>
          <t>Not found</t>
        </is>
      </c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4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inlineStr">
        <is>
          <t>Not found</t>
        </is>
      </c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5" t="inlineStr">
        <is>
          <t>Solvent Identification Failure</t>
        </is>
      </c>
      <c r="M76" s="14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inlineStr">
        <is>
          <t>Not found</t>
        </is>
      </c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4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inlineStr">
        <is>
          <t>Not found</t>
        </is>
      </c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4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inlineStr">
        <is>
          <t>Not found</t>
        </is>
      </c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5" t="inlineStr">
        <is>
          <t>Polymer Identification Failure</t>
        </is>
      </c>
      <c r="M79" s="14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inlineStr">
        <is>
          <t>Not found</t>
        </is>
      </c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5" t="inlineStr">
        <is>
          <t>Solvent Identification Failure</t>
        </is>
      </c>
      <c r="M80" s="14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inlineStr">
        <is>
          <t>Not found</t>
        </is>
      </c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4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inlineStr">
        <is>
          <t>Not found</t>
        </is>
      </c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4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inlineStr">
        <is>
          <t>Not found</t>
        </is>
      </c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5" t="inlineStr">
        <is>
          <t>Solvent Identification Failure</t>
        </is>
      </c>
      <c r="M83" s="14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inlineStr">
        <is>
          <t>Not found</t>
        </is>
      </c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4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inlineStr">
        <is>
          <t>Not found</t>
        </is>
      </c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4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inlineStr">
        <is>
          <t>Not found</t>
        </is>
      </c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4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inlineStr">
        <is>
          <t>Not found</t>
        </is>
      </c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4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inlineStr">
        <is>
          <t>Not found</t>
        </is>
      </c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4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inlineStr">
        <is>
          <t>Not found</t>
        </is>
      </c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4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inlineStr">
        <is>
          <t>Not found</t>
        </is>
      </c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4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inlineStr">
        <is>
          <t>Not found</t>
        </is>
      </c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4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inlineStr">
        <is>
          <t>Not found</t>
        </is>
      </c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4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inlineStr">
        <is>
          <t>Not found</t>
        </is>
      </c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4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inlineStr">
        <is>
          <t>Not found</t>
        </is>
      </c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4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inlineStr">
        <is>
          <t>Not found</t>
        </is>
      </c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4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inlineStr">
        <is>
          <t>Not found</t>
        </is>
      </c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4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inlineStr">
        <is>
          <t>Not found</t>
        </is>
      </c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4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inlineStr">
        <is>
          <t>Not found</t>
        </is>
      </c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4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inlineStr">
        <is>
          <t>Not found</t>
        </is>
      </c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4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inlineStr">
        <is>
          <t>Not found</t>
        </is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5" t="inlineStr">
        <is>
          <t>Polymer Identification Failure</t>
        </is>
      </c>
      <c r="M100" s="14" t="inlineStr">
        <is>
          <t>Temperature Missing/Invalid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inlineStr">
        <is>
          <t>Not found</t>
        </is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5" t="inlineStr">
        <is>
          <t>Polymer Identification Failure</t>
        </is>
      </c>
      <c r="M101" s="14" t="inlineStr">
        <is>
          <t>Temperature Missing/Invalid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inlineStr">
        <is>
          <t>Not found</t>
        </is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5" t="inlineStr">
        <is>
          <t>Polymer Identification Failure</t>
        </is>
      </c>
      <c r="M102" s="14" t="inlineStr">
        <is>
          <t>Temperature Missing/Invalid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inlineStr">
        <is>
          <t>Not found</t>
        </is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5" t="inlineStr">
        <is>
          <t>Polymer Identification Failure</t>
        </is>
      </c>
      <c r="M103" s="14" t="inlineStr">
        <is>
          <t>Temperature Missing/Invalid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inlineStr">
        <is>
          <t>Not found</t>
        </is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5" t="inlineStr">
        <is>
          <t>Polymer Identification Failure</t>
        </is>
      </c>
      <c r="M104" s="14" t="inlineStr">
        <is>
          <t>Temperature Missing/Invalid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inlineStr">
        <is>
          <t>Not found</t>
        </is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3" t="inlineStr">
        <is>
          <t>v_value Not Found, Polymer Identification Failure</t>
        </is>
      </c>
      <c r="M105" s="14" t="inlineStr">
        <is>
          <t>Temperature Missing/Invalid</t>
        </is>
      </c>
      <c r="N105" s="16" t="n"/>
      <c r="O105" s="16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inlineStr">
        <is>
          <t>Not found</t>
        </is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5" t="inlineStr">
        <is>
          <t>Polymer Identification Failure</t>
        </is>
      </c>
      <c r="M106" s="14" t="inlineStr">
        <is>
          <t>Temperature Missing/Invalid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inlineStr">
        <is>
          <t>Not found</t>
        </is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5" t="inlineStr">
        <is>
          <t>Polymer Identification Failure</t>
        </is>
      </c>
      <c r="M107" s="14" t="inlineStr">
        <is>
          <t>Temperature Missing/Invalid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inlineStr">
        <is>
          <t>Not found</t>
        </is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5" t="inlineStr">
        <is>
          <t>Polymer Identification Failure</t>
        </is>
      </c>
      <c r="M108" s="14" t="inlineStr">
        <is>
          <t>Temperature Missing/Invalid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inlineStr">
        <is>
          <t>Not found</t>
        </is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5" t="inlineStr">
        <is>
          <t>Polymer Identification Failure</t>
        </is>
      </c>
      <c r="M109" s="14" t="inlineStr">
        <is>
          <t>Temperature Missing/Invalid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>dissipated spheres and ellipsoids (DSE)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inlineStr">
        <is>
          <t>Not found</t>
        </is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5" t="inlineStr">
        <is>
          <t>Polymer Identification Failure</t>
        </is>
      </c>
      <c r="M110" s="14" t="inlineStr">
        <is>
          <t>Temperature Missing/Invalid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inlineStr">
        <is>
          <t>Not found</t>
        </is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5" t="inlineStr">
        <is>
          <t>Polymer Identification Failure</t>
        </is>
      </c>
      <c r="M111" s="14" t="inlineStr">
        <is>
          <t>Temperature Missing/Invalid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inlineStr">
        <is>
          <t>Not found</t>
        </is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3" t="inlineStr">
        <is>
          <t>Polymer Identification Failure, D Value Out of Range</t>
        </is>
      </c>
      <c r="M112" s="14" t="inlineStr">
        <is>
          <t>Temperature Missing/Invalid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 xml:space="preserve"> tackles expanded discs (ED)</t>
        </is>
      </c>
      <c r="D113" s="5" t="inlineStr">
        <is>
          <t>Invalid chemical</t>
        </is>
      </c>
      <c r="E113" s="5" t="inlineStr">
        <is>
          <t>THF-d8</t>
        </is>
      </c>
      <c r="F113" s="5" t="inlineStr">
        <is>
          <t>tetrahydrofuran</t>
        </is>
      </c>
      <c r="G113" s="6" t="inlineStr">
        <is>
          <t>Not found</t>
        </is>
      </c>
      <c r="H113" s="6" t="n">
        <v>-7.05179738541101</v>
      </c>
      <c r="I113" s="5" t="inlineStr">
        <is>
          <t>log10</t>
        </is>
      </c>
      <c r="J113" s="6" t="n">
        <v>0.78013</v>
      </c>
      <c r="K113" s="5" t="inlineStr">
        <is>
          <t>none</t>
        </is>
      </c>
      <c r="L113" s="15" t="inlineStr">
        <is>
          <t>Polymer Identification Failure</t>
        </is>
      </c>
      <c r="M113" s="14" t="inlineStr">
        <is>
          <t>Temperature Missing/Invalid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C 6 D 6</t>
        </is>
      </c>
      <c r="F114" s="5" t="inlineStr">
        <is>
          <t>benzene</t>
        </is>
      </c>
      <c r="G114" s="6" t="inlineStr">
        <is>
          <t>Not found</t>
        </is>
      </c>
      <c r="H114" s="6" t="n">
        <v>-7.119163550716393</v>
      </c>
      <c r="I114" s="5" t="inlineStr">
        <is>
          <t>log10</t>
        </is>
      </c>
      <c r="J114" s="6" t="n">
        <v>0.76497</v>
      </c>
      <c r="K114" s="5" t="inlineStr">
        <is>
          <t>none</t>
        </is>
      </c>
      <c r="L114" s="15" t="inlineStr">
        <is>
          <t>Polymer Identification Failure</t>
        </is>
      </c>
      <c r="M114" s="14" t="inlineStr">
        <is>
          <t>Temperature Missing/Invalid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CDCl 3</t>
        </is>
      </c>
      <c r="F115" s="5" t="inlineStr">
        <is>
          <t>chloroform-d</t>
        </is>
      </c>
      <c r="G115" s="6" t="inlineStr">
        <is>
          <t>Not found</t>
        </is>
      </c>
      <c r="H115" s="6" t="n">
        <v>-7.444579046025</v>
      </c>
      <c r="I115" s="5" t="inlineStr">
        <is>
          <t>log10</t>
        </is>
      </c>
      <c r="J115" s="6" t="n">
        <v>0.61563</v>
      </c>
      <c r="K115" s="5" t="inlineStr">
        <is>
          <t>none</t>
        </is>
      </c>
      <c r="L115" s="15" t="inlineStr">
        <is>
          <t>Polymer Identification Failure</t>
        </is>
      </c>
      <c r="M115" s="14" t="inlineStr">
        <is>
          <t>Temperature Missing/Invalid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 2 Cl 2</t>
        </is>
      </c>
      <c r="F116" s="5" t="inlineStr">
        <is>
          <t>dichloromethane</t>
        </is>
      </c>
      <c r="G116" s="6" t="inlineStr">
        <is>
          <t>Not found</t>
        </is>
      </c>
      <c r="H116" s="6" t="n">
        <v>-7.285812792724934</v>
      </c>
      <c r="I116" s="5" t="inlineStr">
        <is>
          <t>log10</t>
        </is>
      </c>
      <c r="J116" s="6" t="n">
        <v>0.63314</v>
      </c>
      <c r="K116" s="5" t="inlineStr">
        <is>
          <t>none</t>
        </is>
      </c>
      <c r="L116" s="15" t="inlineStr">
        <is>
          <t>Polymer Identification Failure</t>
        </is>
      </c>
      <c r="M116" s="14" t="inlineStr">
        <is>
          <t>Temperature Missing/Invalid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Toluene- d8</t>
        </is>
      </c>
      <c r="F117" s="5" t="inlineStr">
        <is>
          <t>toluene</t>
        </is>
      </c>
      <c r="G117" s="6" t="inlineStr">
        <is>
          <t>Not found</t>
        </is>
      </c>
      <c r="H117" s="6" t="n">
        <v>-7.008578978708307</v>
      </c>
      <c r="I117" s="5" t="inlineStr">
        <is>
          <t>log10</t>
        </is>
      </c>
      <c r="J117" s="6" t="n">
        <v>0.8235</v>
      </c>
      <c r="K117" s="5" t="inlineStr">
        <is>
          <t>none</t>
        </is>
      </c>
      <c r="L117" s="15" t="inlineStr">
        <is>
          <t>Polymer Identification Failure</t>
        </is>
      </c>
      <c r="M117" s="14" t="inlineStr">
        <is>
          <t>Temperature Missing/Invalid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DMSO-d6</t>
        </is>
      </c>
      <c r="F118" s="5" t="inlineStr">
        <is>
          <t>dimethyl sulfoxide</t>
        </is>
      </c>
      <c r="G118" s="6" t="inlineStr">
        <is>
          <t>Not found</t>
        </is>
      </c>
      <c r="H118" s="6" t="n">
        <v>-7.337194964961833</v>
      </c>
      <c r="I118" s="5" t="inlineStr">
        <is>
          <t>log10</t>
        </is>
      </c>
      <c r="J118" s="6" t="n">
        <v>0.89594</v>
      </c>
      <c r="K118" s="5" t="inlineStr">
        <is>
          <t>none</t>
        </is>
      </c>
      <c r="L118" s="13" t="inlineStr">
        <is>
          <t>Polymer Identification Failure, D Value Out of Range</t>
        </is>
      </c>
      <c r="M118" s="14" t="inlineStr">
        <is>
          <t>Temperature Missing/Invalid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C 6 D 12</t>
        </is>
      </c>
      <c r="F119" s="5" t="inlineStr">
        <is>
          <t>cyclohexane-d12</t>
        </is>
      </c>
      <c r="G119" s="6" t="inlineStr">
        <is>
          <t>Not found</t>
        </is>
      </c>
      <c r="H119" s="6" t="n">
        <v>-6.539793972542549</v>
      </c>
      <c r="I119" s="5" t="inlineStr">
        <is>
          <t>log10</t>
        </is>
      </c>
      <c r="J119" s="6" t="n">
        <v>1.0642</v>
      </c>
      <c r="K119" s="5" t="inlineStr">
        <is>
          <t>none</t>
        </is>
      </c>
      <c r="L119" s="13" t="inlineStr">
        <is>
          <t>v_value Out of Range, Polymer Identification Failure, D Value Out of Range</t>
        </is>
      </c>
      <c r="M119" s="14" t="inlineStr">
        <is>
          <t>Temperature Missing/Invalid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table8</t>
        </is>
      </c>
      <c r="C120" s="5" t="inlineStr">
        <is>
          <t>PS</t>
        </is>
      </c>
      <c r="D120" s="5" t="inlineStr">
        <is>
          <t>polystyrene</t>
        </is>
      </c>
      <c r="E120" s="5" t="inlineStr">
        <is>
          <t>THF-d8</t>
        </is>
      </c>
      <c r="F120" s="5" t="inlineStr">
        <is>
          <t>tetrahydrofuran</t>
        </is>
      </c>
      <c r="G120" s="6" t="inlineStr">
        <is>
          <t>Not found</t>
        </is>
      </c>
      <c r="H120" s="6" t="n">
        <v>-7.497627511688311</v>
      </c>
      <c r="I120" s="5" t="inlineStr">
        <is>
          <t>log10</t>
        </is>
      </c>
      <c r="J120" s="6" t="n">
        <v>0.5604</v>
      </c>
      <c r="K120" s="5" t="inlineStr">
        <is>
          <t>none</t>
        </is>
      </c>
      <c r="L120" s="5" t="inlineStr">
        <is>
          <t>None</t>
        </is>
      </c>
      <c r="M120" s="14" t="inlineStr">
        <is>
          <t>Temperature Missing/Invalid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C 6 D 6</t>
        </is>
      </c>
      <c r="F121" s="5" t="inlineStr">
        <is>
          <t>benzene</t>
        </is>
      </c>
      <c r="G121" s="6" t="inlineStr">
        <is>
          <t>Not found</t>
        </is>
      </c>
      <c r="H121" s="6" t="n">
        <v>-7.594397544790686</v>
      </c>
      <c r="I121" s="5" t="inlineStr">
        <is>
          <t>log10</t>
        </is>
      </c>
      <c r="J121" s="6" t="n">
        <v>0.56041</v>
      </c>
      <c r="K121" s="5" t="inlineStr">
        <is>
          <t>none</t>
        </is>
      </c>
      <c r="L121" s="5" t="inlineStr">
        <is>
          <t>None</t>
        </is>
      </c>
      <c r="M121" s="14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CDCl 3</t>
        </is>
      </c>
      <c r="F122" s="5" t="inlineStr">
        <is>
          <t>chloroform-d</t>
        </is>
      </c>
      <c r="G122" s="6" t="inlineStr">
        <is>
          <t>Not found</t>
        </is>
      </c>
      <c r="H122" s="6" t="n">
        <v>-7.523371224817643</v>
      </c>
      <c r="I122" s="5" t="inlineStr">
        <is>
          <t>log10</t>
        </is>
      </c>
      <c r="J122" s="6" t="n">
        <v>0.5623899999999999</v>
      </c>
      <c r="K122" s="5" t="inlineStr">
        <is>
          <t>none</t>
        </is>
      </c>
      <c r="L122" s="5" t="inlineStr">
        <is>
          <t>None</t>
        </is>
      </c>
      <c r="M122" s="14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 2 Cl 2</t>
        </is>
      </c>
      <c r="F123" s="5" t="inlineStr">
        <is>
          <t>dichloromethane</t>
        </is>
      </c>
      <c r="G123" s="6" t="inlineStr">
        <is>
          <t>Not found</t>
        </is>
      </c>
      <c r="H123" s="6" t="n">
        <v>-7.406713932979542</v>
      </c>
      <c r="I123" s="5" t="inlineStr">
        <is>
          <t>log10</t>
        </is>
      </c>
      <c r="J123" s="6" t="n">
        <v>0.56162</v>
      </c>
      <c r="K123" s="5" t="inlineStr">
        <is>
          <t>none</t>
        </is>
      </c>
      <c r="L123" s="5" t="inlineStr">
        <is>
          <t>None</t>
        </is>
      </c>
      <c r="M123" s="14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Toluene-d8</t>
        </is>
      </c>
      <c r="F124" s="5" t="inlineStr">
        <is>
          <t>toluene</t>
        </is>
      </c>
      <c r="G124" s="6" t="inlineStr">
        <is>
          <t>Not found</t>
        </is>
      </c>
      <c r="H124" s="6" t="n">
        <v>-7.670073559204548</v>
      </c>
      <c r="I124" s="5" t="inlineStr">
        <is>
          <t>log10</t>
        </is>
      </c>
      <c r="J124" s="6" t="n">
        <v>0.53106</v>
      </c>
      <c r="K124" s="5" t="inlineStr">
        <is>
          <t>none</t>
        </is>
      </c>
      <c r="L124" s="5" t="inlineStr">
        <is>
          <t>None</t>
        </is>
      </c>
      <c r="M124" s="14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Acetone-d6</t>
        </is>
      </c>
      <c r="F125" s="5" t="inlineStr">
        <is>
          <t>acetone</t>
        </is>
      </c>
      <c r="G125" s="6" t="inlineStr">
        <is>
          <t>Not found</t>
        </is>
      </c>
      <c r="H125" s="6" t="n">
        <v>-7.679147780168245</v>
      </c>
      <c r="I125" s="5" t="inlineStr">
        <is>
          <t>log10</t>
        </is>
      </c>
      <c r="J125" s="6" t="n">
        <v>0.45209</v>
      </c>
      <c r="K125" s="5" t="inlineStr">
        <is>
          <t>none</t>
        </is>
      </c>
      <c r="L125" s="5" t="inlineStr">
        <is>
          <t>None</t>
        </is>
      </c>
      <c r="M125" s="14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PMMA</t>
        </is>
      </c>
      <c r="D126" s="5" t="inlineStr">
        <is>
          <t>poly(methyl methacrylate)</t>
        </is>
      </c>
      <c r="E126" s="5" t="inlineStr">
        <is>
          <t>THF-d8</t>
        </is>
      </c>
      <c r="F126" s="5" t="inlineStr">
        <is>
          <t>tetrahydrofuran</t>
        </is>
      </c>
      <c r="G126" s="6" t="inlineStr">
        <is>
          <t>Not found</t>
        </is>
      </c>
      <c r="H126" s="6" t="n">
        <v>-7.434234799547848</v>
      </c>
      <c r="I126" s="5" t="inlineStr">
        <is>
          <t>log10</t>
        </is>
      </c>
      <c r="J126" s="6" t="n">
        <v>0.5624</v>
      </c>
      <c r="K126" s="5" t="inlineStr">
        <is>
          <t>none</t>
        </is>
      </c>
      <c r="L126" s="5" t="inlineStr">
        <is>
          <t>None</t>
        </is>
      </c>
      <c r="M126" s="14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C 6 D 6</t>
        </is>
      </c>
      <c r="F127" s="5" t="inlineStr">
        <is>
          <t>benzene</t>
        </is>
      </c>
      <c r="G127" s="6" t="inlineStr">
        <is>
          <t>Not found</t>
        </is>
      </c>
      <c r="H127" s="6" t="n">
        <v>-7.528356300958614</v>
      </c>
      <c r="I127" s="5" t="inlineStr">
        <is>
          <t>log10</t>
        </is>
      </c>
      <c r="J127" s="6" t="n">
        <v>0.56913</v>
      </c>
      <c r="K127" s="5" t="inlineStr">
        <is>
          <t>none</t>
        </is>
      </c>
      <c r="L127" s="5" t="inlineStr">
        <is>
          <t>None</t>
        </is>
      </c>
      <c r="M127" s="14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CDCl 3</t>
        </is>
      </c>
      <c r="F128" s="5" t="inlineStr">
        <is>
          <t>chloroform-d</t>
        </is>
      </c>
      <c r="G128" s="6" t="inlineStr">
        <is>
          <t>Not found</t>
        </is>
      </c>
      <c r="H128" s="6" t="n">
        <v>-7.416619835412931</v>
      </c>
      <c r="I128" s="5" t="inlineStr">
        <is>
          <t>log10</t>
        </is>
      </c>
      <c r="J128" s="6" t="n">
        <v>0.58372</v>
      </c>
      <c r="K128" s="5" t="inlineStr">
        <is>
          <t>none</t>
        </is>
      </c>
      <c r="L128" s="5" t="inlineStr">
        <is>
          <t>None</t>
        </is>
      </c>
      <c r="M128" s="14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 2 Cl 2</t>
        </is>
      </c>
      <c r="F129" s="5" t="inlineStr">
        <is>
          <t>dichloromethane</t>
        </is>
      </c>
      <c r="G129" s="6" t="inlineStr">
        <is>
          <t>Not found</t>
        </is>
      </c>
      <c r="H129" s="6" t="n">
        <v>-7.285687008705199</v>
      </c>
      <c r="I129" s="5" t="inlineStr">
        <is>
          <t>log10</t>
        </is>
      </c>
      <c r="J129" s="6" t="n">
        <v>0.58736</v>
      </c>
      <c r="K129" s="5" t="inlineStr">
        <is>
          <t>none</t>
        </is>
      </c>
      <c r="L129" s="5" t="inlineStr">
        <is>
          <t>None</t>
        </is>
      </c>
      <c r="M129" s="14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DMSO-d6</t>
        </is>
      </c>
      <c r="F130" s="5" t="inlineStr">
        <is>
          <t>dimethyl sulfoxide</t>
        </is>
      </c>
      <c r="G130" s="6" t="inlineStr">
        <is>
          <t>Not found</t>
        </is>
      </c>
      <c r="H130" s="6" t="n">
        <v>-8.505775813083098</v>
      </c>
      <c r="I130" s="5" t="inlineStr">
        <is>
          <t>log10</t>
        </is>
      </c>
      <c r="J130" s="6" t="n">
        <v>0.44424</v>
      </c>
      <c r="K130" s="5" t="inlineStr">
        <is>
          <t>none</t>
        </is>
      </c>
      <c r="L130" s="5" t="inlineStr">
        <is>
          <t>None</t>
        </is>
      </c>
      <c r="M130" s="14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PI</t>
        </is>
      </c>
      <c r="D131" s="5" t="inlineStr">
        <is>
          <t>polyimide</t>
        </is>
      </c>
      <c r="E131" s="5" t="inlineStr">
        <is>
          <t>THF-d8</t>
        </is>
      </c>
      <c r="F131" s="5" t="inlineStr">
        <is>
          <t>tetrahydrofuran</t>
        </is>
      </c>
      <c r="G131" s="6" t="inlineStr">
        <is>
          <t>Not found</t>
        </is>
      </c>
      <c r="H131" s="6" t="n">
        <v>-7.330497165895657</v>
      </c>
      <c r="I131" s="5" t="inlineStr">
        <is>
          <t>log10</t>
        </is>
      </c>
      <c r="J131" s="6" t="n">
        <v>0.60811</v>
      </c>
      <c r="K131" s="5" t="inlineStr">
        <is>
          <t>none</t>
        </is>
      </c>
      <c r="L131" s="5" t="inlineStr">
        <is>
          <t>None</t>
        </is>
      </c>
      <c r="M131" s="14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C 6 D 6</t>
        </is>
      </c>
      <c r="F132" s="5" t="inlineStr">
        <is>
          <t>benzene</t>
        </is>
      </c>
      <c r="G132" s="6" t="inlineStr">
        <is>
          <t>Not found</t>
        </is>
      </c>
      <c r="H132" s="6" t="n">
        <v>-7.388584736177106</v>
      </c>
      <c r="I132" s="5" t="inlineStr">
        <is>
          <t>log10</t>
        </is>
      </c>
      <c r="J132" s="6" t="n">
        <v>0.61614</v>
      </c>
      <c r="K132" s="5" t="inlineStr">
        <is>
          <t>none</t>
        </is>
      </c>
      <c r="L132" s="5" t="inlineStr">
        <is>
          <t>None</t>
        </is>
      </c>
      <c r="M132" s="14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CDCl 3</t>
        </is>
      </c>
      <c r="F133" s="5" t="inlineStr">
        <is>
          <t>chloroform-d</t>
        </is>
      </c>
      <c r="G133" s="6" t="inlineStr">
        <is>
          <t>Not found</t>
        </is>
      </c>
      <c r="H133" s="6" t="n">
        <v>-7.298285260295005</v>
      </c>
      <c r="I133" s="5" t="inlineStr">
        <is>
          <t>log10</t>
        </is>
      </c>
      <c r="J133" s="6" t="n">
        <v>0.62721</v>
      </c>
      <c r="K133" s="5" t="inlineStr">
        <is>
          <t>none</t>
        </is>
      </c>
      <c r="L133" s="5" t="inlineStr">
        <is>
          <t>None</t>
        </is>
      </c>
      <c r="M133" s="14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 2 Cl 2</t>
        </is>
      </c>
      <c r="F134" s="5" t="inlineStr">
        <is>
          <t>dichloromethane</t>
        </is>
      </c>
      <c r="G134" s="6" t="inlineStr">
        <is>
          <t>Not found</t>
        </is>
      </c>
      <c r="H134" s="6" t="n">
        <v>-7.380124391499957</v>
      </c>
      <c r="I134" s="5" t="inlineStr">
        <is>
          <t>log10</t>
        </is>
      </c>
      <c r="J134" s="6" t="n">
        <v>0.57317</v>
      </c>
      <c r="K134" s="5" t="inlineStr">
        <is>
          <t>none</t>
        </is>
      </c>
      <c r="L134" s="5" t="inlineStr">
        <is>
          <t>None</t>
        </is>
      </c>
      <c r="M134" s="14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P2VP</t>
        </is>
      </c>
      <c r="D135" s="5" t="inlineStr">
        <is>
          <t>poly(2-vinylpyridine)</t>
        </is>
      </c>
      <c r="E135" s="5" t="inlineStr">
        <is>
          <t>THF-d8</t>
        </is>
      </c>
      <c r="F135" s="5" t="inlineStr">
        <is>
          <t>tetrahydrofuran</t>
        </is>
      </c>
      <c r="G135" s="6" t="inlineStr">
        <is>
          <t>Not found</t>
        </is>
      </c>
      <c r="H135" s="6" t="n">
        <v>-7.739952475004678</v>
      </c>
      <c r="I135" s="5" t="inlineStr">
        <is>
          <t>log10</t>
        </is>
      </c>
      <c r="J135" s="6" t="n">
        <v>0.5049</v>
      </c>
      <c r="K135" s="5" t="inlineStr">
        <is>
          <t>none</t>
        </is>
      </c>
      <c r="L135" s="5" t="inlineStr">
        <is>
          <t>None</t>
        </is>
      </c>
      <c r="M135" s="14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C 6 D 6</t>
        </is>
      </c>
      <c r="F136" s="5" t="inlineStr">
        <is>
          <t>benzene</t>
        </is>
      </c>
      <c r="G136" s="6" t="inlineStr">
        <is>
          <t>Not found</t>
        </is>
      </c>
      <c r="H136" s="6" t="n">
        <v>-7.903646240006705</v>
      </c>
      <c r="I136" s="5" t="inlineStr">
        <is>
          <t>log10</t>
        </is>
      </c>
      <c r="J136" s="6" t="n">
        <v>0.48883</v>
      </c>
      <c r="K136" s="5" t="inlineStr">
        <is>
          <t>none</t>
        </is>
      </c>
      <c r="L136" s="5" t="inlineStr">
        <is>
          <t>None</t>
        </is>
      </c>
      <c r="M136" s="14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CDCl 3</t>
        </is>
      </c>
      <c r="F137" s="5" t="inlineStr">
        <is>
          <t>chloroform-d</t>
        </is>
      </c>
      <c r="G137" s="6" t="inlineStr">
        <is>
          <t>Not found</t>
        </is>
      </c>
      <c r="H137" s="6" t="n">
        <v>-7.577590743390301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4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 2 Cl 2</t>
        </is>
      </c>
      <c r="F138" s="5" t="inlineStr">
        <is>
          <t>dichloromethane</t>
        </is>
      </c>
      <c r="G138" s="6" t="inlineStr">
        <is>
          <t>Not found</t>
        </is>
      </c>
      <c r="H138" s="6" t="n">
        <v>-7.947113764743619</v>
      </c>
      <c r="I138" s="5" t="inlineStr">
        <is>
          <t>log10</t>
        </is>
      </c>
      <c r="J138" s="6" t="n">
        <v>0.53396</v>
      </c>
      <c r="K138" s="5" t="inlineStr">
        <is>
          <t>none</t>
        </is>
      </c>
      <c r="L138" s="5" t="inlineStr">
        <is>
          <t>None</t>
        </is>
      </c>
      <c r="M138" s="14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table9</t>
        </is>
      </c>
      <c r="C139" s="5" t="inlineStr">
        <is>
          <t>PEO</t>
        </is>
      </c>
      <c r="D139" s="5" t="inlineStr">
        <is>
          <t>poly(ethylene oxide)</t>
        </is>
      </c>
      <c r="E139" s="5" t="inlineStr">
        <is>
          <t>THF-d8</t>
        </is>
      </c>
      <c r="F139" s="5" t="inlineStr">
        <is>
          <t>tetrahydrofuran</t>
        </is>
      </c>
      <c r="G139" s="6" t="inlineStr">
        <is>
          <t>Not found</t>
        </is>
      </c>
      <c r="H139" s="6" t="n">
        <v>-7.478914244084677</v>
      </c>
      <c r="I139" s="5" t="inlineStr">
        <is>
          <t>log10</t>
        </is>
      </c>
      <c r="J139" s="6" t="n">
        <v>0.58062</v>
      </c>
      <c r="K139" s="5" t="inlineStr">
        <is>
          <t>none</t>
        </is>
      </c>
      <c r="L139" s="5" t="inlineStr">
        <is>
          <t>None</t>
        </is>
      </c>
      <c r="M139" s="14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CD 3 CN</t>
        </is>
      </c>
      <c r="F140" s="5" t="inlineStr">
        <is>
          <t>acetonitrile-d3</t>
        </is>
      </c>
      <c r="G140" s="6" t="inlineStr">
        <is>
          <t>Not found</t>
        </is>
      </c>
      <c r="H140" s="6" t="n">
        <v>-7.281913705216908</v>
      </c>
      <c r="I140" s="5" t="inlineStr">
        <is>
          <t>log10</t>
        </is>
      </c>
      <c r="J140" s="6" t="n">
        <v>0.59613</v>
      </c>
      <c r="K140" s="5" t="inlineStr">
        <is>
          <t>none</t>
        </is>
      </c>
      <c r="L140" s="5" t="inlineStr">
        <is>
          <t>None</t>
        </is>
      </c>
      <c r="M140" s="14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D 2 O</t>
        </is>
      </c>
      <c r="F141" s="5" t="inlineStr">
        <is>
          <t>deuterium oxide</t>
        </is>
      </c>
      <c r="G141" s="6" t="inlineStr">
        <is>
          <t>Not found</t>
        </is>
      </c>
      <c r="H141" s="6" t="n">
        <v>-7.877194537152556</v>
      </c>
      <c r="I141" s="5" t="inlineStr">
        <is>
          <t>log10</t>
        </is>
      </c>
      <c r="J141" s="6" t="n">
        <v>0.5723</v>
      </c>
      <c r="K141" s="5" t="inlineStr">
        <is>
          <t>none</t>
        </is>
      </c>
      <c r="L141" s="5" t="inlineStr">
        <is>
          <t>None</t>
        </is>
      </c>
      <c r="M141" s="14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MeOD</t>
        </is>
      </c>
      <c r="F142" s="5" t="inlineStr">
        <is>
          <t>methanol-d4</t>
        </is>
      </c>
      <c r="G142" s="6" t="inlineStr">
        <is>
          <t>Not found</t>
        </is>
      </c>
      <c r="H142" s="6" t="n">
        <v>-7.591607379866639</v>
      </c>
      <c r="I142" s="5" t="inlineStr">
        <is>
          <t>log10</t>
        </is>
      </c>
      <c r="J142" s="6" t="n">
        <v>0.57021</v>
      </c>
      <c r="K142" s="5" t="inlineStr">
        <is>
          <t>none</t>
        </is>
      </c>
      <c r="L142" s="5" t="inlineStr">
        <is>
          <t>None</t>
        </is>
      </c>
      <c r="M142" s="14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Acetone-d6</t>
        </is>
      </c>
      <c r="F143" s="5" t="inlineStr">
        <is>
          <t>acetone</t>
        </is>
      </c>
      <c r="G143" s="6" t="inlineStr">
        <is>
          <t>Not found</t>
        </is>
      </c>
      <c r="H143" s="6" t="n">
        <v>-7.673500285274963</v>
      </c>
      <c r="I143" s="5" t="inlineStr">
        <is>
          <t>log10</t>
        </is>
      </c>
      <c r="J143" s="6" t="n">
        <v>0.47448</v>
      </c>
      <c r="K143" s="5" t="inlineStr">
        <is>
          <t>none</t>
        </is>
      </c>
      <c r="L143" s="5" t="inlineStr">
        <is>
          <t>None</t>
        </is>
      </c>
      <c r="M143" s="14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table10</t>
        </is>
      </c>
      <c r="C144" s="5" t="inlineStr">
        <is>
          <t>PMMA</t>
        </is>
      </c>
      <c r="D144" s="5" t="inlineStr">
        <is>
          <t>poly(methyl methacrylate)</t>
        </is>
      </c>
      <c r="E144" s="5" t="inlineStr">
        <is>
          <t>C6D6</t>
        </is>
      </c>
      <c r="F144" s="5" t="inlineStr">
        <is>
          <t>benzene</t>
        </is>
      </c>
      <c r="G144" s="6" t="inlineStr">
        <is>
          <t>Not found</t>
        </is>
      </c>
      <c r="H144" s="6" t="n">
        <v>-7.696566333993796</v>
      </c>
      <c r="I144" s="5" t="inlineStr">
        <is>
          <t>log10</t>
        </is>
      </c>
      <c r="J144" s="6" t="n">
        <v>0.52734</v>
      </c>
      <c r="K144" s="5" t="inlineStr">
        <is>
          <t>none</t>
        </is>
      </c>
      <c r="L144" s="5" t="inlineStr">
        <is>
          <t>None</t>
        </is>
      </c>
      <c r="M144" s="14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inlineStr">
        <is>
          <t>Not found</t>
        </is>
      </c>
      <c r="H145" s="6" t="n">
        <v>-7.623331814189471</v>
      </c>
      <c r="I145" s="5" t="inlineStr">
        <is>
          <t>log10</t>
        </is>
      </c>
      <c r="J145" s="6" t="n">
        <v>0.52996</v>
      </c>
      <c r="K145" s="5" t="inlineStr">
        <is>
          <t>none</t>
        </is>
      </c>
      <c r="L145" s="5" t="inlineStr">
        <is>
          <t>None</t>
        </is>
      </c>
      <c r="M145" s="14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inlineStr">
        <is>
          <t>Not found</t>
        </is>
      </c>
      <c r="H146" s="6" t="n">
        <v>-7.58838029403677</v>
      </c>
      <c r="I146" s="5" t="inlineStr">
        <is>
          <t>log10</t>
        </is>
      </c>
      <c r="J146" s="6" t="n">
        <v>0.52552</v>
      </c>
      <c r="K146" s="5" t="inlineStr">
        <is>
          <t>none</t>
        </is>
      </c>
      <c r="L146" s="5" t="inlineStr">
        <is>
          <t>None</t>
        </is>
      </c>
      <c r="M146" s="14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inlineStr">
        <is>
          <t>Not found</t>
        </is>
      </c>
      <c r="H147" s="6" t="n">
        <v>-7.512607063941288</v>
      </c>
      <c r="I147" s="5" t="inlineStr">
        <is>
          <t>log10</t>
        </is>
      </c>
      <c r="J147" s="6" t="n">
        <v>0.53221</v>
      </c>
      <c r="K147" s="5" t="inlineStr">
        <is>
          <t>none</t>
        </is>
      </c>
      <c r="L147" s="5" t="inlineStr">
        <is>
          <t>None</t>
        </is>
      </c>
      <c r="M147" s="14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inlineStr">
        <is>
          <t>Not found</t>
        </is>
      </c>
      <c r="H148" s="6" t="n">
        <v>-7.534364379446671</v>
      </c>
      <c r="I148" s="5" t="inlineStr">
        <is>
          <t>log10</t>
        </is>
      </c>
      <c r="J148" s="6" t="n">
        <v>0.51415</v>
      </c>
      <c r="K148" s="5" t="inlineStr">
        <is>
          <t>none</t>
        </is>
      </c>
      <c r="L148" s="5" t="inlineStr">
        <is>
          <t>None</t>
        </is>
      </c>
      <c r="M148" s="14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inlineStr">
        <is>
          <t>Not found</t>
        </is>
      </c>
      <c r="H149" s="6" t="n">
        <v>-7.486103513077076</v>
      </c>
      <c r="I149" s="5" t="inlineStr">
        <is>
          <t>log10</t>
        </is>
      </c>
      <c r="J149" s="6" t="n">
        <v>0.51461</v>
      </c>
      <c r="K149" s="5" t="inlineStr">
        <is>
          <t>none</t>
        </is>
      </c>
      <c r="L149" s="5" t="inlineStr">
        <is>
          <t>None</t>
        </is>
      </c>
      <c r="M149" s="14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PEO</t>
        </is>
      </c>
      <c r="D150" s="5" t="inlineStr">
        <is>
          <t>poly(ethylene oxide)</t>
        </is>
      </c>
      <c r="E150" s="5" t="inlineStr">
        <is>
          <t>D2O</t>
        </is>
      </c>
      <c r="F150" s="5" t="inlineStr">
        <is>
          <t>deuterium oxide</t>
        </is>
      </c>
      <c r="G150" s="6" t="inlineStr">
        <is>
          <t>Not found</t>
        </is>
      </c>
      <c r="H150" s="6" t="n">
        <v>-7.877194537152556</v>
      </c>
      <c r="I150" s="5" t="inlineStr">
        <is>
          <t>log10</t>
        </is>
      </c>
      <c r="J150" s="6" t="n">
        <v>0.5723</v>
      </c>
      <c r="K150" s="5" t="inlineStr">
        <is>
          <t>none</t>
        </is>
      </c>
      <c r="L150" s="5" t="inlineStr">
        <is>
          <t>None</t>
        </is>
      </c>
      <c r="M150" s="14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inlineStr">
        <is>
          <t>Not found</t>
        </is>
      </c>
      <c r="H151" s="6" t="n">
        <v>-7.842301520724484</v>
      </c>
      <c r="I151" s="5" t="inlineStr">
        <is>
          <t>log10</t>
        </is>
      </c>
      <c r="J151" s="6" t="n">
        <v>0.55987</v>
      </c>
      <c r="K151" s="5" t="inlineStr">
        <is>
          <t>none</t>
        </is>
      </c>
      <c r="L151" s="5" t="inlineStr">
        <is>
          <t>None</t>
        </is>
      </c>
      <c r="M151" s="14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inlineStr">
        <is>
          <t>Not found</t>
        </is>
      </c>
      <c r="H152" s="6" t="n">
        <v>-7.717785866937665</v>
      </c>
      <c r="I152" s="5" t="inlineStr">
        <is>
          <t>log10</t>
        </is>
      </c>
      <c r="J152" s="6" t="n">
        <v>0.5633899999999999</v>
      </c>
      <c r="K152" s="5" t="inlineStr">
        <is>
          <t>none</t>
        </is>
      </c>
      <c r="L152" s="5" t="inlineStr">
        <is>
          <t>None</t>
        </is>
      </c>
      <c r="M152" s="14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inlineStr">
        <is>
          <t>Not found</t>
        </is>
      </c>
      <c r="H153" s="6" t="n">
        <v>-7.625031813700766</v>
      </c>
      <c r="I153" s="5" t="inlineStr">
        <is>
          <t>log10</t>
        </is>
      </c>
      <c r="J153" s="6" t="n">
        <v>0.55747</v>
      </c>
      <c r="K153" s="5" t="inlineStr">
        <is>
          <t>none</t>
        </is>
      </c>
      <c r="L153" s="5" t="inlineStr">
        <is>
          <t>None</t>
        </is>
      </c>
      <c r="M153" s="14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inlineStr">
        <is>
          <t>Not found</t>
        </is>
      </c>
      <c r="H154" s="6" t="n">
        <v>-7.556330296503602</v>
      </c>
      <c r="I154" s="5" t="inlineStr">
        <is>
          <t>log10</t>
        </is>
      </c>
      <c r="J154" s="6" t="n">
        <v>0.55169</v>
      </c>
      <c r="K154" s="5" t="inlineStr">
        <is>
          <t>none</t>
        </is>
      </c>
      <c r="L154" s="5" t="inlineStr">
        <is>
          <t>None</t>
        </is>
      </c>
      <c r="M154" s="14" t="inlineStr">
        <is>
          <t>Temperature Missing/Invalid</t>
        </is>
      </c>
      <c r="N154" s="6">
        <f>H154-J154*3</f>
        <v/>
      </c>
      <c r="O154" s="6">
        <f>H154-J154*6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74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3" t="inlineStr">
        <is>
          <t>1994 - Structural Information on Hyaluronic Acid Solutions As Studied by Probe Diffusion Experiments</t>
        </is>
      </c>
      <c r="B2" s="13" t="inlineStr">
        <is>
          <t>table1</t>
        </is>
      </c>
      <c r="C2" s="13" t="inlineStr">
        <is>
          <t>Flory</t>
        </is>
      </c>
      <c r="D2" s="13" t="inlineStr">
        <is>
          <t>solvent_name, temperature_missing, D_out_of_range</t>
        </is>
      </c>
      <c r="E2" s="13" t="inlineStr">
        <is>
          <t>D Value Out of Range</t>
        </is>
      </c>
    </row>
    <row r="3">
      <c r="A3" s="13" t="inlineStr">
        <is>
          <t>1994 - Structural Information on Hyaluronic Acid Solutions As Studied by Probe Diffusion Experiments</t>
        </is>
      </c>
      <c r="B3" s="13" t="inlineStr">
        <is>
          <t>table1</t>
        </is>
      </c>
      <c r="C3" s="13" t="inlineStr">
        <is>
          <t>Flory</t>
        </is>
      </c>
      <c r="D3" s="13" t="inlineStr">
        <is>
          <t>solvent_name, temperature_missing, D_out_of_range</t>
        </is>
      </c>
      <c r="E3" s="13" t="inlineStr">
        <is>
          <t>D Value Out of Range</t>
        </is>
      </c>
    </row>
    <row r="4">
      <c r="A4" s="13" t="inlineStr">
        <is>
          <t>1994 - Structural Information on Hyaluronic Acid Solutions As Studied by Probe Diffusion Experiments</t>
        </is>
      </c>
      <c r="B4" s="13" t="inlineStr">
        <is>
          <t>table1</t>
        </is>
      </c>
      <c r="C4" s="13" t="inlineStr">
        <is>
          <t>Flory</t>
        </is>
      </c>
      <c r="D4" s="13" t="inlineStr">
        <is>
          <t>solvent_name, temperature_missing, D_out_of_range</t>
        </is>
      </c>
      <c r="E4" s="13" t="inlineStr">
        <is>
          <t>D Value Out of Range</t>
        </is>
      </c>
    </row>
    <row r="5">
      <c r="A5" s="13" t="inlineStr">
        <is>
          <t>1994 - Structural Information on Hyaluronic Acid Solutions As Studied by Probe Diffusion Experiments</t>
        </is>
      </c>
      <c r="B5" s="13" t="inlineStr">
        <is>
          <t>table1</t>
        </is>
      </c>
      <c r="C5" s="13" t="inlineStr">
        <is>
          <t>Flory</t>
        </is>
      </c>
      <c r="D5" s="13" t="inlineStr">
        <is>
          <t>solvent_name, temperature_missing, D_out_of_range</t>
        </is>
      </c>
      <c r="E5" s="13" t="inlineStr">
        <is>
          <t>D Value Out of Range</t>
        </is>
      </c>
    </row>
    <row r="6">
      <c r="A6" s="15" t="inlineStr">
        <is>
          <t>2008 - Determination of the Chemical Structure of Poly-β-pinene by NMR Spectroscopy</t>
        </is>
      </c>
      <c r="B6" s="15" t="inlineStr">
        <is>
          <t>table5</t>
        </is>
      </c>
      <c r="C6" s="15" t="inlineStr">
        <is>
          <t>Flory</t>
        </is>
      </c>
      <c r="D6" s="15" t="inlineStr">
        <is>
          <t>solvent_name, temperature_missing</t>
        </is>
      </c>
      <c r="E6" s="15" t="inlineStr">
        <is>
          <t>Solvent Identification Failure</t>
        </is>
      </c>
    </row>
    <row r="7">
      <c r="A7" s="13" t="inlineStr">
        <is>
          <t>2009 - NMR Measure of Translational Diffusion and Fractal Dimension. Application to Molecular Mass Measurement</t>
        </is>
      </c>
      <c r="B7" s="13" t="inlineStr">
        <is>
          <t>table1</t>
        </is>
      </c>
      <c r="C7" s="13" t="inlineStr">
        <is>
          <t>Flory</t>
        </is>
      </c>
      <c r="D7" s="13" t="inlineStr">
        <is>
          <t>solvent_name, c_value_missing, polymer_name, temperature_missing</t>
        </is>
      </c>
      <c r="E7" s="13" t="inlineStr">
        <is>
          <t>c_value Not Found</t>
        </is>
      </c>
    </row>
    <row r="8">
      <c r="A8" s="13" t="inlineStr">
        <is>
          <t>2009 - NMR Measure of Translational Diffusion and Fractal Dimension. Application to Molecular Mass Measurement</t>
        </is>
      </c>
      <c r="B8" s="13" t="inlineStr">
        <is>
          <t>table1</t>
        </is>
      </c>
      <c r="C8" s="13" t="inlineStr">
        <is>
          <t>Flory</t>
        </is>
      </c>
      <c r="D8" s="13" t="inlineStr">
        <is>
          <t>solvent_name, c_value_missing, polymer_name, temperature_missing</t>
        </is>
      </c>
      <c r="E8" s="13" t="inlineStr">
        <is>
          <t>c_value Not Found</t>
        </is>
      </c>
    </row>
    <row r="9">
      <c r="A9" s="13" t="inlineStr">
        <is>
          <t>2009 - NMR Measure of Translational Diffusion and Fractal Dimension. Application to Molecular Mass Measurement</t>
        </is>
      </c>
      <c r="B9" s="13" t="inlineStr">
        <is>
          <t>table2</t>
        </is>
      </c>
      <c r="C9" s="13" t="inlineStr">
        <is>
          <t>Flory</t>
        </is>
      </c>
      <c r="D9" s="13" t="inlineStr">
        <is>
          <t>solvent_name, c_value_missing, temperature_missing</t>
        </is>
      </c>
      <c r="E9" s="13" t="inlineStr">
        <is>
          <t>c_value Not Found</t>
        </is>
      </c>
    </row>
    <row r="10">
      <c r="A10" s="13" t="inlineStr">
        <is>
          <t>2009 - NMR Measure of Translational Diffusion and Fractal Dimension. Application to Molecular Mass Measurement</t>
        </is>
      </c>
      <c r="B10" s="13" t="inlineStr">
        <is>
          <t>table2</t>
        </is>
      </c>
      <c r="C10" s="13" t="inlineStr">
        <is>
          <t>Flory</t>
        </is>
      </c>
      <c r="D10" s="13" t="inlineStr">
        <is>
          <t>solvent_name, c_value_missing, temperature_missing</t>
        </is>
      </c>
      <c r="E10" s="13" t="inlineStr">
        <is>
          <t>c_value Not Found</t>
        </is>
      </c>
    </row>
    <row r="11">
      <c r="A11" s="13" t="inlineStr">
        <is>
          <t>2009 - NMR Measure of Translational Diffusion and Fractal Dimension. Application to Molecular Mass Measurement</t>
        </is>
      </c>
      <c r="B11" s="13" t="inlineStr">
        <is>
          <t>table2</t>
        </is>
      </c>
      <c r="C11" s="13" t="inlineStr">
        <is>
          <t>Flory</t>
        </is>
      </c>
      <c r="D11" s="13" t="inlineStr">
        <is>
          <t>c_value_missing, temperature_missing</t>
        </is>
      </c>
      <c r="E11" s="13" t="inlineStr">
        <is>
          <t>c_value Not Found</t>
        </is>
      </c>
    </row>
    <row r="12">
      <c r="A12" s="13" t="inlineStr">
        <is>
          <t>2009 - NMR Measure of Translational Diffusion and Fractal Dimension. Application to Molecular Mass Measurement</t>
        </is>
      </c>
      <c r="B12" s="13" t="inlineStr">
        <is>
          <t>table2</t>
        </is>
      </c>
      <c r="C12" s="13" t="inlineStr">
        <is>
          <t>Flory</t>
        </is>
      </c>
      <c r="D12" s="13" t="inlineStr">
        <is>
          <t>c_value_missing, temperature_missing</t>
        </is>
      </c>
      <c r="E12" s="13" t="inlineStr">
        <is>
          <t>c_value Not Found</t>
        </is>
      </c>
    </row>
    <row r="13">
      <c r="A13" s="13" t="inlineStr">
        <is>
          <t>2009 - NMR Measure of Translational Diffusion and Fractal Dimension. Application to Molecular Mass Measurement</t>
        </is>
      </c>
      <c r="B13" s="13" t="inlineStr">
        <is>
          <t>table2</t>
        </is>
      </c>
      <c r="C13" s="13" t="inlineStr">
        <is>
          <t>Flory</t>
        </is>
      </c>
      <c r="D13" s="13" t="inlineStr">
        <is>
          <t>c_value_missing, temperature_missing</t>
        </is>
      </c>
      <c r="E13" s="13" t="inlineStr">
        <is>
          <t>c_value Not Found</t>
        </is>
      </c>
    </row>
    <row r="14">
      <c r="A14" s="13" t="inlineStr">
        <is>
          <t>2009 - NMR Measure of Translational Diffusion and Fractal Dimension. Application to Molecular Mass Measurement</t>
        </is>
      </c>
      <c r="B14" s="13" t="inlineStr">
        <is>
          <t>table2</t>
        </is>
      </c>
      <c r="C14" s="13" t="inlineStr">
        <is>
          <t>Flory</t>
        </is>
      </c>
      <c r="D14" s="13" t="inlineStr">
        <is>
          <t>c_value_missing, temperature_missing</t>
        </is>
      </c>
      <c r="E14" s="13" t="inlineStr">
        <is>
          <t>c_value Not Found</t>
        </is>
      </c>
    </row>
    <row r="15">
      <c r="A15" s="13" t="inlineStr">
        <is>
          <t>2009 - NMR Measure of Translational Diffusion and Fractal Dimension. Application to Molecular Mass Measurement</t>
        </is>
      </c>
      <c r="B15" s="13" t="inlineStr">
        <is>
          <t>table2</t>
        </is>
      </c>
      <c r="C15" s="13" t="inlineStr">
        <is>
          <t>Flory</t>
        </is>
      </c>
      <c r="D15" s="13" t="inlineStr">
        <is>
          <t>c_value_missing, temperature_missing</t>
        </is>
      </c>
      <c r="E15" s="13" t="inlineStr">
        <is>
          <t>c_value Not Found</t>
        </is>
      </c>
    </row>
    <row r="16">
      <c r="A16" s="13" t="inlineStr">
        <is>
          <t>2009 - NMR Measure of Translational Diffusion and Fractal Dimension. Application to Molecular Mass Measurement</t>
        </is>
      </c>
      <c r="B16" s="13" t="inlineStr">
        <is>
          <t>table2</t>
        </is>
      </c>
      <c r="C16" s="13" t="inlineStr">
        <is>
          <t>Flory</t>
        </is>
      </c>
      <c r="D16" s="13" t="inlineStr">
        <is>
          <t>solvent_name, c_value_missing, temperature_missing</t>
        </is>
      </c>
      <c r="E16" s="13" t="inlineStr">
        <is>
          <t>c_value Not Found</t>
        </is>
      </c>
    </row>
    <row r="17">
      <c r="A17" s="13" t="inlineStr">
        <is>
          <t>2009 - NMR Measure of Translational Diffusion and Fractal Dimension. Application to Molecular Mass Measurement</t>
        </is>
      </c>
      <c r="B17" s="13" t="inlineStr">
        <is>
          <t>table2</t>
        </is>
      </c>
      <c r="C17" s="13" t="inlineStr">
        <is>
          <t>Flory</t>
        </is>
      </c>
      <c r="D17" s="13" t="inlineStr">
        <is>
          <t>temperature_missing, D_out_of_range</t>
        </is>
      </c>
      <c r="E17" s="13" t="inlineStr">
        <is>
          <t>D Value Out of Range</t>
        </is>
      </c>
    </row>
    <row r="18">
      <c r="A18" s="13" t="inlineStr">
        <is>
          <t>2009 - NMR Measure of Translational Diffusion and Fractal Dimension. Application to Molecular Mass Measurement</t>
        </is>
      </c>
      <c r="B18" s="13" t="inlineStr">
        <is>
          <t>table2</t>
        </is>
      </c>
      <c r="C18" s="13" t="inlineStr">
        <is>
          <t>Flory</t>
        </is>
      </c>
      <c r="D18" s="13" t="inlineStr">
        <is>
          <t>c_value_missing, temperature_missing</t>
        </is>
      </c>
      <c r="E18" s="13" t="inlineStr">
        <is>
          <t>c_value Not Found</t>
        </is>
      </c>
    </row>
    <row r="19">
      <c r="A19" s="13" t="inlineStr">
        <is>
          <t>2009 - NMR Measure of Translational Diffusion and Fractal Dimension. Application to Molecular Mass Measurement</t>
        </is>
      </c>
      <c r="B19" s="13" t="inlineStr">
        <is>
          <t>table2</t>
        </is>
      </c>
      <c r="C19" s="13" t="inlineStr">
        <is>
          <t>Flory</t>
        </is>
      </c>
      <c r="D19" s="13" t="inlineStr">
        <is>
          <t>c_value_missing, polymer_name, temperature_missing</t>
        </is>
      </c>
      <c r="E19" s="13" t="inlineStr">
        <is>
          <t>c_value Not Found</t>
        </is>
      </c>
    </row>
    <row r="20">
      <c r="A20" s="13" t="inlineStr">
        <is>
          <t>2009 - NMR Measure of Translational Diffusion and Fractal Dimension. Application to Molecular Mass Measurement</t>
        </is>
      </c>
      <c r="B20" s="13" t="inlineStr">
        <is>
          <t>table2</t>
        </is>
      </c>
      <c r="C20" s="13" t="inlineStr">
        <is>
          <t>Flory</t>
        </is>
      </c>
      <c r="D20" s="13" t="inlineStr">
        <is>
          <t>c_value_missing, temperature_missing</t>
        </is>
      </c>
      <c r="E20" s="13" t="inlineStr">
        <is>
          <t>c_value Not Found</t>
        </is>
      </c>
    </row>
    <row r="21">
      <c r="A21" s="13" t="inlineStr">
        <is>
          <t>2009 - NMR Measure of Translational Diffusion and Fractal Dimension. Application to Molecular Mass Measurement</t>
        </is>
      </c>
      <c r="B21" s="13" t="inlineStr">
        <is>
          <t>table2</t>
        </is>
      </c>
      <c r="C21" s="13" t="inlineStr">
        <is>
          <t>Flory</t>
        </is>
      </c>
      <c r="D21" s="13" t="inlineStr">
        <is>
          <t>c_value_missing, temperature_missing</t>
        </is>
      </c>
      <c r="E21" s="13" t="inlineStr">
        <is>
          <t>c_value Not Found</t>
        </is>
      </c>
    </row>
    <row r="22">
      <c r="A22" s="13" t="inlineStr">
        <is>
          <t>2009 - NMR Measure of Translational Diffusion and Fractal Dimension. Application to Molecular Mass Measurement</t>
        </is>
      </c>
      <c r="B22" s="13" t="inlineStr">
        <is>
          <t>table2</t>
        </is>
      </c>
      <c r="C22" s="13" t="inlineStr">
        <is>
          <t>Flory</t>
        </is>
      </c>
      <c r="D22" s="13" t="inlineStr">
        <is>
          <t>c_value_missing, polymer_name, temperature_missing</t>
        </is>
      </c>
      <c r="E22" s="13" t="inlineStr">
        <is>
          <t>c_value Not Found</t>
        </is>
      </c>
    </row>
    <row r="23">
      <c r="A23" s="13" t="inlineStr">
        <is>
          <t>2009 - NMR Measure of Translational Diffusion and Fractal Dimension. Application to Molecular Mass Measurement</t>
        </is>
      </c>
      <c r="B23" s="13" t="inlineStr">
        <is>
          <t>table2</t>
        </is>
      </c>
      <c r="C23" s="13" t="inlineStr">
        <is>
          <t>Flory</t>
        </is>
      </c>
      <c r="D23" s="13" t="inlineStr">
        <is>
          <t>solvent_name, c_value_missing, temperature_missing</t>
        </is>
      </c>
      <c r="E23" s="13" t="inlineStr">
        <is>
          <t>c_value Not Found</t>
        </is>
      </c>
    </row>
    <row r="24">
      <c r="A24" s="13" t="inlineStr">
        <is>
          <t>2009 - NMR Measure of Translational Diffusion and Fractal Dimension. Application to Molecular Mass Measurement</t>
        </is>
      </c>
      <c r="B24" s="13" t="inlineStr">
        <is>
          <t>table2</t>
        </is>
      </c>
      <c r="C24" s="13" t="inlineStr">
        <is>
          <t>Flory</t>
        </is>
      </c>
      <c r="D24" s="13" t="inlineStr">
        <is>
          <t>temperature_missing, D_out_of_range</t>
        </is>
      </c>
      <c r="E24" s="13" t="inlineStr">
        <is>
          <t>D Value Out of Range</t>
        </is>
      </c>
    </row>
    <row r="25">
      <c r="A25" s="13" t="inlineStr">
        <is>
          <t>2009 - NMR Measure of Translational Diffusion and Fractal Dimension. Application to Molecular Mass Measurement</t>
        </is>
      </c>
      <c r="B25" s="13" t="inlineStr">
        <is>
          <t>table2</t>
        </is>
      </c>
      <c r="C25" s="13" t="inlineStr">
        <is>
          <t>Flory</t>
        </is>
      </c>
      <c r="D25" s="13" t="inlineStr">
        <is>
          <t>solvent_name, c_value_missing, temperature_missing</t>
        </is>
      </c>
      <c r="E25" s="13" t="inlineStr">
        <is>
          <t>c_value Not Found</t>
        </is>
      </c>
    </row>
    <row r="26">
      <c r="A26" s="13" t="inlineStr">
        <is>
          <t>2009 - NMR Measure of Translational Diffusion and Fractal Dimension. Application to Molecular Mass Measurement</t>
        </is>
      </c>
      <c r="B26" s="13" t="inlineStr">
        <is>
          <t>table2</t>
        </is>
      </c>
      <c r="C26" s="13" t="inlineStr">
        <is>
          <t>Flory</t>
        </is>
      </c>
      <c r="D26" s="13" t="inlineStr">
        <is>
          <t>c_value_missing, temperature_missing</t>
        </is>
      </c>
      <c r="E26" s="13" t="inlineStr">
        <is>
          <t>c_value Not Found</t>
        </is>
      </c>
    </row>
    <row r="27">
      <c r="A27" s="13" t="inlineStr">
        <is>
          <t>2009 - NMR Measure of Translational Diffusion and Fractal Dimension. Application to Molecular Mass Measurement</t>
        </is>
      </c>
      <c r="B27" s="13" t="inlineStr">
        <is>
          <t>table2</t>
        </is>
      </c>
      <c r="C27" s="13" t="inlineStr">
        <is>
          <t>Flory</t>
        </is>
      </c>
      <c r="D27" s="13" t="inlineStr">
        <is>
          <t>c_value_missing, temperature_missing</t>
        </is>
      </c>
      <c r="E27" s="13" t="inlineStr">
        <is>
          <t>c_value Not Found</t>
        </is>
      </c>
    </row>
    <row r="28">
      <c r="A28" s="13" t="inlineStr">
        <is>
          <t>2009 - NMR Measure of Translational Diffusion and Fractal Dimension. Application to Molecular Mass Measurement</t>
        </is>
      </c>
      <c r="B28" s="13" t="inlineStr">
        <is>
          <t>table2</t>
        </is>
      </c>
      <c r="C28" s="13" t="inlineStr">
        <is>
          <t>Flory</t>
        </is>
      </c>
      <c r="D28" s="13" t="inlineStr">
        <is>
          <t>temperature_missing, D_out_of_range</t>
        </is>
      </c>
      <c r="E28" s="13" t="inlineStr">
        <is>
          <t>D Value Out of Range</t>
        </is>
      </c>
    </row>
    <row r="29">
      <c r="A29" s="13" t="inlineStr">
        <is>
          <t>2009 - NMR Measure of Translational Diffusion and Fractal Dimension. Application to Molecular Mass Measurement</t>
        </is>
      </c>
      <c r="B29" s="13" t="inlineStr">
        <is>
          <t>table2</t>
        </is>
      </c>
      <c r="C29" s="13" t="inlineStr">
        <is>
          <t>Flory</t>
        </is>
      </c>
      <c r="D29" s="13" t="inlineStr">
        <is>
          <t>solvent_name, c_value_missing, polymer_name, temperature_missing</t>
        </is>
      </c>
      <c r="E29" s="13" t="inlineStr">
        <is>
          <t>c_value Not Found</t>
        </is>
      </c>
    </row>
    <row r="30">
      <c r="A30" s="15" t="inlineStr">
        <is>
          <t>2014 - Determination of the Average Molecular Weight of Hydroxyethyl Starches by Diffusion Ordered NMR Spectroscopy</t>
        </is>
      </c>
      <c r="B30" s="15" t="inlineStr">
        <is>
          <t>table2</t>
        </is>
      </c>
      <c r="C30" s="15" t="inlineStr">
        <is>
          <t>Flory</t>
        </is>
      </c>
      <c r="D30" s="15" t="inlineStr">
        <is>
          <t>solvent_name, temperature_missing</t>
        </is>
      </c>
      <c r="E30" s="15" t="inlineStr">
        <is>
          <t>Solvent Identification Failure</t>
        </is>
      </c>
    </row>
    <row r="31">
      <c r="A31" s="15" t="inlineStr">
        <is>
          <t>2014 - Determination of the Average Molecular Weight of Hydroxyethyl Starches by Diffusion Ordered NMR Spectroscopy</t>
        </is>
      </c>
      <c r="B31" s="15" t="inlineStr">
        <is>
          <t>table2</t>
        </is>
      </c>
      <c r="C31" s="15" t="inlineStr">
        <is>
          <t>Flory</t>
        </is>
      </c>
      <c r="D31" s="15" t="inlineStr">
        <is>
          <t>solvent_name, temperature_missing</t>
        </is>
      </c>
      <c r="E31" s="15" t="inlineStr">
        <is>
          <t>Solvent Identification Failure</t>
        </is>
      </c>
    </row>
    <row r="32">
      <c r="A32" s="15" t="inlineStr">
        <is>
          <t>2014 - Determination of the Average Molecular Weight of Hydroxyethyl Starches by Diffusion Ordered NMR Spectroscopy</t>
        </is>
      </c>
      <c r="B32" s="15" t="inlineStr">
        <is>
          <t>table2</t>
        </is>
      </c>
      <c r="C32" s="15" t="inlineStr">
        <is>
          <t>Flory</t>
        </is>
      </c>
      <c r="D32" s="15" t="inlineStr">
        <is>
          <t>solvent_name, temperature_missing</t>
        </is>
      </c>
      <c r="E32" s="15" t="inlineStr">
        <is>
          <t>Solvent Identification Failure</t>
        </is>
      </c>
    </row>
    <row r="33">
      <c r="A33" s="13" t="inlineStr">
        <is>
          <t>2015 - Determination of the parameters of molecular-weight distribution of hydroxyethyl starches by diffusion-ordered NMR spectroscopy</t>
        </is>
      </c>
      <c r="B33" s="13" t="inlineStr">
        <is>
          <t>table3</t>
        </is>
      </c>
      <c r="C33" s="13" t="inlineStr">
        <is>
          <t>Flory</t>
        </is>
      </c>
      <c r="D33" s="13" t="inlineStr">
        <is>
          <t>solvent_name, temperature_missing, D_out_of_range</t>
        </is>
      </c>
      <c r="E33" s="13" t="inlineStr">
        <is>
          <t>D Value Out of Range</t>
        </is>
      </c>
    </row>
    <row r="34">
      <c r="A34" s="13" t="inlineStr">
        <is>
          <t>2015 - Determination of the parameters of molecular-weight distribution of hydroxyethyl starches by diffusion-ordered NMR spectroscopy</t>
        </is>
      </c>
      <c r="B34" s="13" t="inlineStr">
        <is>
          <t>table3</t>
        </is>
      </c>
      <c r="C34" s="13" t="inlineStr">
        <is>
          <t>Flory</t>
        </is>
      </c>
      <c r="D34" s="13" t="inlineStr">
        <is>
          <t>solvent_name, temperature_missing, D_out_of_range</t>
        </is>
      </c>
      <c r="E34" s="13" t="inlineStr">
        <is>
          <t>D Value Out of Range</t>
        </is>
      </c>
    </row>
    <row r="35">
      <c r="A35" s="13" t="inlineStr">
        <is>
          <t>2015 - Determination of the parameters of molecular-weight distribution of hydroxyethyl starches by diffusion-ordered NMR spectroscopy</t>
        </is>
      </c>
      <c r="B35" s="13" t="inlineStr">
        <is>
          <t>table3</t>
        </is>
      </c>
      <c r="C35" s="13" t="inlineStr">
        <is>
          <t>Flory</t>
        </is>
      </c>
      <c r="D35" s="13" t="inlineStr">
        <is>
          <t>solvent_name, temperature_missing, D_out_of_range</t>
        </is>
      </c>
      <c r="E35" s="13" t="inlineStr">
        <is>
          <t>D Value Out of Range</t>
        </is>
      </c>
    </row>
    <row r="36">
      <c r="A36" s="13" t="inlineStr">
        <is>
          <t>2015 - Determination of the parameters of molecular-weight distribution of hydroxyethyl starches by diffusion-ordered NMR spectroscopy</t>
        </is>
      </c>
      <c r="B36" s="13" t="inlineStr">
        <is>
          <t>table3</t>
        </is>
      </c>
      <c r="C36" s="13" t="inlineStr">
        <is>
          <t>Flory</t>
        </is>
      </c>
      <c r="D36" s="13" t="inlineStr">
        <is>
          <t>solvent_name, temperature_missing, D_out_of_range</t>
        </is>
      </c>
      <c r="E36" s="13" t="inlineStr">
        <is>
          <t>D Value Out of Range</t>
        </is>
      </c>
    </row>
    <row r="37">
      <c r="A37" s="13" t="inlineStr">
        <is>
          <t>2015 - Determination of the parameters of molecular-weight distribution of hydroxyethyl starches by diffusion-ordered NMR spectroscopy</t>
        </is>
      </c>
      <c r="B37" s="13" t="inlineStr">
        <is>
          <t>table3</t>
        </is>
      </c>
      <c r="C37" s="13" t="inlineStr">
        <is>
          <t>Flory</t>
        </is>
      </c>
      <c r="D37" s="13" t="inlineStr">
        <is>
          <t>solvent_name, polymer_name, temperature_missing, D_out_of_range</t>
        </is>
      </c>
      <c r="E37" s="13" t="inlineStr">
        <is>
          <t>D Value Out of Range</t>
        </is>
      </c>
    </row>
    <row r="38">
      <c r="A38" s="13" t="inlineStr">
        <is>
          <t>2015 - Determination of the parameters of molecular-weight distribution of hydroxyethyl starches by diffusion-ordered NMR spectroscopy</t>
        </is>
      </c>
      <c r="B38" s="13" t="inlineStr">
        <is>
          <t>table3</t>
        </is>
      </c>
      <c r="C38" s="13" t="inlineStr">
        <is>
          <t>Flory</t>
        </is>
      </c>
      <c r="D38" s="13" t="inlineStr">
        <is>
          <t>solvent_name, c_value_missing, temperature_missing</t>
        </is>
      </c>
      <c r="E38" s="13" t="inlineStr">
        <is>
          <t>c_value Not Found</t>
        </is>
      </c>
    </row>
    <row r="39">
      <c r="A39" s="13" t="inlineStr">
        <is>
          <t>2016 - 1 H DOSY NMR Determination of the Molecular Weight and the Solution Properties of Poly-( N -acryloylmorpholine) in Various Solvents</t>
        </is>
      </c>
      <c r="B39" s="13" t="inlineStr">
        <is>
          <t>table2</t>
        </is>
      </c>
      <c r="C39" s="13" t="inlineStr">
        <is>
          <t>Flory</t>
        </is>
      </c>
      <c r="D39" s="13" t="inlineStr">
        <is>
          <t>c_value_missing, temperature_missing</t>
        </is>
      </c>
      <c r="E39" s="13" t="inlineStr">
        <is>
          <t>c_value Not Found</t>
        </is>
      </c>
    </row>
    <row r="40">
      <c r="A40" s="13" t="inlineStr">
        <is>
          <t>2016 - 1 H DOSY NMR Determination of the Molecular Weight and the Solution Properties of Poly-( N -acryloylmorpholine) in Various Solvents</t>
        </is>
      </c>
      <c r="B40" s="13" t="inlineStr">
        <is>
          <t>table2</t>
        </is>
      </c>
      <c r="C40" s="13" t="inlineStr">
        <is>
          <t>Flory</t>
        </is>
      </c>
      <c r="D40" s="13" t="inlineStr">
        <is>
          <t>c_value_missing, temperature_missing</t>
        </is>
      </c>
      <c r="E40" s="13" t="inlineStr">
        <is>
          <t>c_value Not Found</t>
        </is>
      </c>
    </row>
    <row r="41">
      <c r="A41" s="13" t="inlineStr">
        <is>
          <t>2016 - 1 H DOSY NMR Determination of the Molecular Weight and the Solution Properties of Poly-( N -acryloylmorpholine) in Various Solvents</t>
        </is>
      </c>
      <c r="B41" s="13" t="inlineStr">
        <is>
          <t>table2</t>
        </is>
      </c>
      <c r="C41" s="13" t="inlineStr">
        <is>
          <t>Flory</t>
        </is>
      </c>
      <c r="D41" s="13" t="inlineStr">
        <is>
          <t>c_value_missing, temperature_missing</t>
        </is>
      </c>
      <c r="E41" s="13" t="inlineStr">
        <is>
          <t>c_value Not Found</t>
        </is>
      </c>
    </row>
    <row r="42">
      <c r="A42" s="13" t="inlineStr">
        <is>
          <t>2016 - 1 H DOSY NMR Determination of the Molecular Weight and the Solution Properties of Poly-( N -acryloylmorpholine) in Various Solvents</t>
        </is>
      </c>
      <c r="B42" s="13" t="inlineStr">
        <is>
          <t>table2</t>
        </is>
      </c>
      <c r="C42" s="13" t="inlineStr">
        <is>
          <t>Flory</t>
        </is>
      </c>
      <c r="D42" s="13" t="inlineStr">
        <is>
          <t>c_value_missing, temperature_missing</t>
        </is>
      </c>
      <c r="E42" s="13" t="inlineStr">
        <is>
          <t>c_value Not Found</t>
        </is>
      </c>
    </row>
    <row r="43">
      <c r="A43" s="15" t="inlineStr">
        <is>
          <t>2019 - Quantitative Studies of Block Copolymers and Their Containing Homopolymer Components by Diffusion Ordered Spectroscopy</t>
        </is>
      </c>
      <c r="B43" s="15" t="inlineStr">
        <is>
          <t>table1</t>
        </is>
      </c>
      <c r="C43" s="15" t="inlineStr">
        <is>
          <t>Flory</t>
        </is>
      </c>
      <c r="D43" s="15" t="inlineStr">
        <is>
          <t>solvent_name, temperature_missing</t>
        </is>
      </c>
      <c r="E43" s="15" t="inlineStr">
        <is>
          <t>Solvent Identification Failure</t>
        </is>
      </c>
    </row>
    <row r="44">
      <c r="A44" s="15" t="inlineStr">
        <is>
          <t>2019 - Quantitative Studies of Block Copolymers and Their Containing Homopolymer Components by Diffusion Ordered Spectroscopy</t>
        </is>
      </c>
      <c r="B44" s="15" t="inlineStr">
        <is>
          <t>table1</t>
        </is>
      </c>
      <c r="C44" s="15" t="inlineStr">
        <is>
          <t>Flory</t>
        </is>
      </c>
      <c r="D44" s="15" t="inlineStr">
        <is>
          <t>solvent_name, temperature_missing</t>
        </is>
      </c>
      <c r="E44" s="15" t="inlineStr">
        <is>
          <t>Solvent Identification Failure</t>
        </is>
      </c>
    </row>
    <row r="45">
      <c r="A45" s="15" t="inlineStr">
        <is>
          <t>2019 - Quantitative Studies of Block Copolymers and Their Containing Homopolymer Components by Diffusion Ordered Spectroscopy</t>
        </is>
      </c>
      <c r="B45" s="15" t="inlineStr">
        <is>
          <t>table1</t>
        </is>
      </c>
      <c r="C45" s="15" t="inlineStr">
        <is>
          <t>Flory</t>
        </is>
      </c>
      <c r="D45" s="15" t="inlineStr">
        <is>
          <t>solvent_name, temperature_missing</t>
        </is>
      </c>
      <c r="E45" s="15" t="inlineStr">
        <is>
          <t>Solvent Identification Failure</t>
        </is>
      </c>
    </row>
    <row r="46">
      <c r="A46" s="15" t="inlineStr">
        <is>
          <t>2019 - Quantitative Studies of Block Copolymers and Their Containing Homopolymer Components by Diffusion Ordered Spectroscopy</t>
        </is>
      </c>
      <c r="B46" s="15" t="inlineStr">
        <is>
          <t>table1</t>
        </is>
      </c>
      <c r="C46" s="15" t="inlineStr">
        <is>
          <t>Flory</t>
        </is>
      </c>
      <c r="D46" s="15" t="inlineStr">
        <is>
          <t>solvent_name, temperature_missing</t>
        </is>
      </c>
      <c r="E46" s="15" t="inlineStr">
        <is>
          <t>Solvent Identification Failure</t>
        </is>
      </c>
    </row>
    <row r="47">
      <c r="A47" s="15" t="inlineStr">
        <is>
          <t>2019 - Quantitative Studies of Block Copolymers and Their Containing Homopolymer Components by Diffusion Ordered Spectroscopy</t>
        </is>
      </c>
      <c r="B47" s="15" t="inlineStr">
        <is>
          <t>table1</t>
        </is>
      </c>
      <c r="C47" s="15" t="inlineStr">
        <is>
          <t>Flory</t>
        </is>
      </c>
      <c r="D47" s="15" t="inlineStr">
        <is>
          <t>solvent_name, temperature_missing</t>
        </is>
      </c>
      <c r="E47" s="15" t="inlineStr">
        <is>
          <t>Solvent Identification Failure</t>
        </is>
      </c>
    </row>
    <row r="48">
      <c r="A48" s="13" t="inlineStr">
        <is>
          <t>2019 - Quantitative Studies of Block Copolymers and Their Containing Homopolymer Components by Diffusion Ordered Spectroscopy</t>
        </is>
      </c>
      <c r="B48" s="13" t="inlineStr">
        <is>
          <t>table1</t>
        </is>
      </c>
      <c r="C48" s="13" t="inlineStr">
        <is>
          <t>Flory</t>
        </is>
      </c>
      <c r="D48" s="13" t="inlineStr">
        <is>
          <t>solvent_name, v_value_out_of_range, temperature_missing</t>
        </is>
      </c>
      <c r="E48" s="13" t="inlineStr">
        <is>
          <t>v_value Out of Range</t>
        </is>
      </c>
    </row>
    <row r="49">
      <c r="A49" s="13" t="inlineStr">
        <is>
          <t>2020 - Application of 1H DOSY NMR in Measurement of Polystyrene Molecular Weights</t>
        </is>
      </c>
      <c r="B49" s="13" t="inlineStr">
        <is>
          <t>table2</t>
        </is>
      </c>
      <c r="C49" s="13" t="inlineStr">
        <is>
          <t>Flory</t>
        </is>
      </c>
      <c r="D49" s="13" t="inlineStr">
        <is>
          <t>c_value_missing, temperature_missing</t>
        </is>
      </c>
      <c r="E49" s="13" t="inlineStr">
        <is>
          <t>c_value Not Found</t>
        </is>
      </c>
    </row>
    <row r="50">
      <c r="A50" s="15" t="inlineStr">
        <is>
          <t>2021 - Solvent‐Independent Molecular Weight Determination of Polymers Based on a Truly Universal Calibration SI</t>
        </is>
      </c>
      <c r="B50" s="15" t="inlineStr">
        <is>
          <t>table7</t>
        </is>
      </c>
      <c r="C50" s="15" t="inlineStr">
        <is>
          <t>Flory</t>
        </is>
      </c>
      <c r="D50" s="15" t="inlineStr">
        <is>
          <t>solvent_name, temperature_missing</t>
        </is>
      </c>
      <c r="E50" s="15" t="inlineStr">
        <is>
          <t>Solvent Identification Failure</t>
        </is>
      </c>
    </row>
    <row r="51">
      <c r="A51" s="15" t="inlineStr">
        <is>
          <t>2022 - Molar Mass Distribution and Chemical Composition Distribution of PS‑b‑PMMA Block Copolymers Determined by Diffusion Ordered Spectroscopy</t>
        </is>
      </c>
      <c r="B51" s="15" t="inlineStr">
        <is>
          <t>table2</t>
        </is>
      </c>
      <c r="C51" s="15" t="inlineStr">
        <is>
          <t>Flory</t>
        </is>
      </c>
      <c r="D51" s="15" t="inlineStr">
        <is>
          <t>solvent_name, temperature_missing</t>
        </is>
      </c>
      <c r="E51" s="15" t="inlineStr">
        <is>
          <t>Solvent Identification Failure</t>
        </is>
      </c>
    </row>
    <row r="52">
      <c r="A52" s="15" t="inlineStr">
        <is>
          <t>2022 - Molar Mass Distribution and Chemical Composition Distribution of PS‑b‑PMMA Block Copolymers Determined by Diffusion Ordered Spectroscopy</t>
        </is>
      </c>
      <c r="B52" s="15" t="inlineStr">
        <is>
          <t>table2</t>
        </is>
      </c>
      <c r="C52" s="15" t="inlineStr">
        <is>
          <t>Flory</t>
        </is>
      </c>
      <c r="D52" s="15" t="inlineStr">
        <is>
          <t>solvent_name, temperature_missing</t>
        </is>
      </c>
      <c r="E52" s="15" t="inlineStr">
        <is>
          <t>Solvent Identification Failure</t>
        </is>
      </c>
    </row>
    <row r="53">
      <c r="A53" s="15" t="inlineStr">
        <is>
          <t>2023 - A fast and efficient way of obtaining the average molecular weight of block copolymers via DOSY</t>
        </is>
      </c>
      <c r="B53" s="15" t="inlineStr">
        <is>
          <t>table1</t>
        </is>
      </c>
      <c r="C53" s="15" t="inlineStr">
        <is>
          <t>Flory</t>
        </is>
      </c>
      <c r="D53" s="15" t="inlineStr">
        <is>
          <t>solvent_name, temperature_missing</t>
        </is>
      </c>
      <c r="E53" s="15" t="inlineStr">
        <is>
          <t>Solvent Identification Failure</t>
        </is>
      </c>
    </row>
    <row r="54">
      <c r="A54" s="15" t="inlineStr">
        <is>
          <t>2023 - A fast and efficient way of obtaining the average molecular weight of block copolymers via DOSY</t>
        </is>
      </c>
      <c r="B54" s="15" t="inlineStr">
        <is>
          <t>table3</t>
        </is>
      </c>
      <c r="C54" s="15" t="inlineStr">
        <is>
          <t>Flory</t>
        </is>
      </c>
      <c r="D54" s="15" t="inlineStr">
        <is>
          <t>polymer_name, temperature_missing</t>
        </is>
      </c>
      <c r="E54" s="15" t="inlineStr">
        <is>
          <t>Polymer Identification Failure</t>
        </is>
      </c>
    </row>
    <row r="55">
      <c r="A55" s="15" t="inlineStr">
        <is>
          <t>2023 - A fast and efficient way of obtaining the average molecular weight of block copolymers via DOSY</t>
        </is>
      </c>
      <c r="B55" s="15" t="inlineStr">
        <is>
          <t>table3</t>
        </is>
      </c>
      <c r="C55" s="15" t="inlineStr">
        <is>
          <t>Flory</t>
        </is>
      </c>
      <c r="D55" s="15" t="inlineStr">
        <is>
          <t>solvent_name, temperature_missing</t>
        </is>
      </c>
      <c r="E55" s="15" t="inlineStr">
        <is>
          <t>Solvent Identification Failure</t>
        </is>
      </c>
    </row>
    <row r="56">
      <c r="A56" s="15" t="inlineStr">
        <is>
          <t>2023 - A fast and efficient way of obtaining the average molecular weight of block copolymers via DOSY</t>
        </is>
      </c>
      <c r="B56" s="15" t="inlineStr">
        <is>
          <t>table6</t>
        </is>
      </c>
      <c r="C56" s="15" t="inlineStr">
        <is>
          <t>Flory</t>
        </is>
      </c>
      <c r="D56" s="15" t="inlineStr">
        <is>
          <t>solvent_name, temperature_missing</t>
        </is>
      </c>
      <c r="E56" s="15" t="inlineStr">
        <is>
          <t>Solvent Identification Failure</t>
        </is>
      </c>
    </row>
    <row r="57">
      <c r="A57" s="15" t="inlineStr">
        <is>
          <t>2024 - Molar Mass Determination for Small and Large Molecules Using Diffusion-Ordered Spectroscopy - SI</t>
        </is>
      </c>
      <c r="B57" s="15" t="inlineStr">
        <is>
          <t>table7</t>
        </is>
      </c>
      <c r="C57" s="15" t="inlineStr">
        <is>
          <t>Flory</t>
        </is>
      </c>
      <c r="D57" s="15" t="inlineStr">
        <is>
          <t>polymer_name, temperature_missing</t>
        </is>
      </c>
      <c r="E57" s="15" t="inlineStr">
        <is>
          <t>Polymer Identification Failure</t>
        </is>
      </c>
    </row>
    <row r="58">
      <c r="A58" s="15" t="inlineStr">
        <is>
          <t>2024 - Molar Mass Determination for Small and Large Molecules Using Diffusion-Ordered Spectroscopy - SI</t>
        </is>
      </c>
      <c r="B58" s="15" t="inlineStr">
        <is>
          <t>table7</t>
        </is>
      </c>
      <c r="C58" s="15" t="inlineStr">
        <is>
          <t>Flory</t>
        </is>
      </c>
      <c r="D58" s="15" t="inlineStr">
        <is>
          <t>polymer_name, temperature_missing</t>
        </is>
      </c>
      <c r="E58" s="15" t="inlineStr">
        <is>
          <t>Polymer Identification Failure</t>
        </is>
      </c>
    </row>
    <row r="59">
      <c r="A59" s="15" t="inlineStr">
        <is>
          <t>2024 - Molar Mass Determination for Small and Large Molecules Using Diffusion-Ordered Spectroscopy - SI</t>
        </is>
      </c>
      <c r="B59" s="15" t="inlineStr">
        <is>
          <t>table7</t>
        </is>
      </c>
      <c r="C59" s="15" t="inlineStr">
        <is>
          <t>Flory</t>
        </is>
      </c>
      <c r="D59" s="15" t="inlineStr">
        <is>
          <t>polymer_name, temperature_missing</t>
        </is>
      </c>
      <c r="E59" s="15" t="inlineStr">
        <is>
          <t>Polymer Identification Failure</t>
        </is>
      </c>
    </row>
    <row r="60">
      <c r="A60" s="15" t="inlineStr">
        <is>
          <t>2024 - Molar Mass Determination for Small and Large Molecules Using Diffusion-Ordered Spectroscopy - SI</t>
        </is>
      </c>
      <c r="B60" s="15" t="inlineStr">
        <is>
          <t>table7</t>
        </is>
      </c>
      <c r="C60" s="15" t="inlineStr">
        <is>
          <t>Flory</t>
        </is>
      </c>
      <c r="D60" s="15" t="inlineStr">
        <is>
          <t>polymer_name, temperature_missing</t>
        </is>
      </c>
      <c r="E60" s="15" t="inlineStr">
        <is>
          <t>Polymer Identification Failure</t>
        </is>
      </c>
    </row>
    <row r="61">
      <c r="A61" s="15" t="inlineStr">
        <is>
          <t>2024 - Molar Mass Determination for Small and Large Molecules Using Diffusion-Ordered Spectroscopy - SI</t>
        </is>
      </c>
      <c r="B61" s="15" t="inlineStr">
        <is>
          <t>table7</t>
        </is>
      </c>
      <c r="C61" s="15" t="inlineStr">
        <is>
          <t>Flory</t>
        </is>
      </c>
      <c r="D61" s="15" t="inlineStr">
        <is>
          <t>polymer_name, temperature_missing</t>
        </is>
      </c>
      <c r="E61" s="15" t="inlineStr">
        <is>
          <t>Polymer Identification Failure</t>
        </is>
      </c>
    </row>
    <row r="62">
      <c r="A62" s="13" t="inlineStr">
        <is>
          <t>2024 - Molar Mass Determination for Small and Large Molecules Using Diffusion-Ordered Spectroscopy - SI</t>
        </is>
      </c>
      <c r="B62" s="13" t="inlineStr">
        <is>
          <t>table7</t>
        </is>
      </c>
      <c r="C62" s="13" t="inlineStr">
        <is>
          <t>Flory</t>
        </is>
      </c>
      <c r="D62" s="13" t="inlineStr">
        <is>
          <t>v_value_missing, polymer_name, temperature_missing</t>
        </is>
      </c>
      <c r="E62" s="13" t="inlineStr">
        <is>
          <t>v_value Not Found</t>
        </is>
      </c>
    </row>
    <row r="63">
      <c r="A63" s="15" t="inlineStr">
        <is>
          <t>2024 - Molar Mass Determination for Small and Large Molecules Using Diffusion-Ordered Spectroscopy - SI</t>
        </is>
      </c>
      <c r="B63" s="15" t="inlineStr">
        <is>
          <t>table7</t>
        </is>
      </c>
      <c r="C63" s="15" t="inlineStr">
        <is>
          <t>Flory</t>
        </is>
      </c>
      <c r="D63" s="15" t="inlineStr">
        <is>
          <t>polymer_name, temperature_missing</t>
        </is>
      </c>
      <c r="E63" s="15" t="inlineStr">
        <is>
          <t>Polymer Identification Failure</t>
        </is>
      </c>
    </row>
    <row r="64">
      <c r="A64" s="15" t="inlineStr">
        <is>
          <t>2024 - Molar Mass Determination for Small and Large Molecules Using Diffusion-Ordered Spectroscopy - SI</t>
        </is>
      </c>
      <c r="B64" s="15" t="inlineStr">
        <is>
          <t>table7</t>
        </is>
      </c>
      <c r="C64" s="15" t="inlineStr">
        <is>
          <t>Flory</t>
        </is>
      </c>
      <c r="D64" s="15" t="inlineStr">
        <is>
          <t>polymer_name, temperature_missing</t>
        </is>
      </c>
      <c r="E64" s="15" t="inlineStr">
        <is>
          <t>Polymer Identification Failure</t>
        </is>
      </c>
    </row>
    <row r="65">
      <c r="A65" s="15" t="inlineStr">
        <is>
          <t>2024 - Molar Mass Determination for Small and Large Molecules Using Diffusion-Ordered Spectroscopy - SI</t>
        </is>
      </c>
      <c r="B65" s="15" t="inlineStr">
        <is>
          <t>table7</t>
        </is>
      </c>
      <c r="C65" s="15" t="inlineStr">
        <is>
          <t>Flory</t>
        </is>
      </c>
      <c r="D65" s="15" t="inlineStr">
        <is>
          <t>polymer_name, temperature_missing</t>
        </is>
      </c>
      <c r="E65" s="15" t="inlineStr">
        <is>
          <t>Polymer Identification Failure</t>
        </is>
      </c>
    </row>
    <row r="66">
      <c r="A66" s="15" t="inlineStr">
        <is>
          <t>2024 - Molar Mass Determination for Small and Large Molecules Using Diffusion-Ordered Spectroscopy - SI</t>
        </is>
      </c>
      <c r="B66" s="15" t="inlineStr">
        <is>
          <t>table7</t>
        </is>
      </c>
      <c r="C66" s="15" t="inlineStr">
        <is>
          <t>Flory</t>
        </is>
      </c>
      <c r="D66" s="15" t="inlineStr">
        <is>
          <t>polymer_name, temperature_missing</t>
        </is>
      </c>
      <c r="E66" s="15" t="inlineStr">
        <is>
          <t>Polymer Identification Failure</t>
        </is>
      </c>
    </row>
    <row r="67">
      <c r="A67" s="15" t="inlineStr">
        <is>
          <t>2024 - Molar Mass Determination for Small and Large Molecules Using Diffusion-Ordered Spectroscopy - SI</t>
        </is>
      </c>
      <c r="B67" s="15" t="inlineStr">
        <is>
          <t>table7</t>
        </is>
      </c>
      <c r="C67" s="15" t="inlineStr">
        <is>
          <t>Flory</t>
        </is>
      </c>
      <c r="D67" s="15" t="inlineStr">
        <is>
          <t>polymer_name, temperature_missing</t>
        </is>
      </c>
      <c r="E67" s="15" t="inlineStr">
        <is>
          <t>Polymer Identification Failure</t>
        </is>
      </c>
    </row>
    <row r="68">
      <c r="A68" s="15" t="inlineStr">
        <is>
          <t>2024 - Molar Mass Determination for Small and Large Molecules Using Diffusion-Ordered Spectroscopy - SI</t>
        </is>
      </c>
      <c r="B68" s="15" t="inlineStr">
        <is>
          <t>table7</t>
        </is>
      </c>
      <c r="C68" s="15" t="inlineStr">
        <is>
          <t>Flory</t>
        </is>
      </c>
      <c r="D68" s="15" t="inlineStr">
        <is>
          <t>polymer_name, temperature_missing</t>
        </is>
      </c>
      <c r="E68" s="15" t="inlineStr">
        <is>
          <t>Polymer Identification Failure</t>
        </is>
      </c>
    </row>
    <row r="69">
      <c r="A69" s="13" t="inlineStr">
        <is>
          <t>2024 - Molar Mass Determination for Small and Large Molecules Using Diffusion-Ordered Spectroscopy - SI</t>
        </is>
      </c>
      <c r="B69" s="13" t="inlineStr">
        <is>
          <t>table7</t>
        </is>
      </c>
      <c r="C69" s="13" t="inlineStr">
        <is>
          <t>Flory</t>
        </is>
      </c>
      <c r="D69" s="13" t="inlineStr">
        <is>
          <t>polymer_name, temperature_missing, D_out_of_range</t>
        </is>
      </c>
      <c r="E69" s="13" t="inlineStr">
        <is>
          <t>D Value Out of Range</t>
        </is>
      </c>
    </row>
    <row r="70">
      <c r="A70" s="15" t="inlineStr">
        <is>
          <t>2024 - Molar Mass Determination for Small and Large Molecules Using Diffusion-Ordered Spectroscopy - SI</t>
        </is>
      </c>
      <c r="B70" s="15" t="inlineStr">
        <is>
          <t>table7</t>
        </is>
      </c>
      <c r="C70" s="15" t="inlineStr">
        <is>
          <t>Flory</t>
        </is>
      </c>
      <c r="D70" s="15" t="inlineStr">
        <is>
          <t>polymer_name, temperature_missing</t>
        </is>
      </c>
      <c r="E70" s="15" t="inlineStr">
        <is>
          <t>Polymer Identification Failure</t>
        </is>
      </c>
    </row>
    <row r="71">
      <c r="A71" s="15" t="inlineStr">
        <is>
          <t>2024 - Molar Mass Determination for Small and Large Molecules Using Diffusion-Ordered Spectroscopy - SI</t>
        </is>
      </c>
      <c r="B71" s="15" t="inlineStr">
        <is>
          <t>table7</t>
        </is>
      </c>
      <c r="C71" s="15" t="inlineStr">
        <is>
          <t>Flory</t>
        </is>
      </c>
      <c r="D71" s="15" t="inlineStr">
        <is>
          <t>polymer_name, temperature_missing</t>
        </is>
      </c>
      <c r="E71" s="15" t="inlineStr">
        <is>
          <t>Polymer Identification Failure</t>
        </is>
      </c>
    </row>
    <row r="72">
      <c r="A72" s="15" t="inlineStr">
        <is>
          <t>2024 - Molar Mass Determination for Small and Large Molecules Using Diffusion-Ordered Spectroscopy - SI</t>
        </is>
      </c>
      <c r="B72" s="15" t="inlineStr">
        <is>
          <t>table7</t>
        </is>
      </c>
      <c r="C72" s="15" t="inlineStr">
        <is>
          <t>Flory</t>
        </is>
      </c>
      <c r="D72" s="15" t="inlineStr">
        <is>
          <t>polymer_name, temperature_missing</t>
        </is>
      </c>
      <c r="E72" s="15" t="inlineStr">
        <is>
          <t>Polymer Identification Failure</t>
        </is>
      </c>
    </row>
    <row r="73">
      <c r="A73" s="15" t="inlineStr">
        <is>
          <t>2024 - Molar Mass Determination for Small and Large Molecules Using Diffusion-Ordered Spectroscopy - SI</t>
        </is>
      </c>
      <c r="B73" s="15" t="inlineStr">
        <is>
          <t>table7</t>
        </is>
      </c>
      <c r="C73" s="15" t="inlineStr">
        <is>
          <t>Flory</t>
        </is>
      </c>
      <c r="D73" s="15" t="inlineStr">
        <is>
          <t>polymer_name, temperature_missing</t>
        </is>
      </c>
      <c r="E73" s="15" t="inlineStr">
        <is>
          <t>Polymer Identification Failure</t>
        </is>
      </c>
    </row>
    <row r="74">
      <c r="A74" s="15" t="inlineStr">
        <is>
          <t>2024 - Molar Mass Determination for Small and Large Molecules Using Diffusion-Ordered Spectroscopy - SI</t>
        </is>
      </c>
      <c r="B74" s="15" t="inlineStr">
        <is>
          <t>table7</t>
        </is>
      </c>
      <c r="C74" s="15" t="inlineStr">
        <is>
          <t>Flory</t>
        </is>
      </c>
      <c r="D74" s="15" t="inlineStr">
        <is>
          <t>polymer_name, temperature_missing</t>
        </is>
      </c>
      <c r="E74" s="15" t="inlineStr">
        <is>
          <t>Polymer Identification Failure</t>
        </is>
      </c>
    </row>
    <row r="75">
      <c r="A75" s="13" t="inlineStr">
        <is>
          <t>2024 - Molar Mass Determination for Small and Large Molecules Using Diffusion-Ordered Spectroscopy - SI</t>
        </is>
      </c>
      <c r="B75" s="13" t="inlineStr">
        <is>
          <t>table7</t>
        </is>
      </c>
      <c r="C75" s="13" t="inlineStr">
        <is>
          <t>Flory</t>
        </is>
      </c>
      <c r="D75" s="13" t="inlineStr">
        <is>
          <t>polymer_name, temperature_missing, D_out_of_range</t>
        </is>
      </c>
      <c r="E75" s="13" t="inlineStr">
        <is>
          <t>D Value Out of Range</t>
        </is>
      </c>
    </row>
    <row r="76">
      <c r="A76" s="13" t="inlineStr">
        <is>
          <t>2024 - Molar Mass Determination for Small and Large Molecules Using Diffusion-Ordered Spectroscopy - SI</t>
        </is>
      </c>
      <c r="B76" s="13" t="inlineStr">
        <is>
          <t>table7</t>
        </is>
      </c>
      <c r="C76" s="13" t="inlineStr">
        <is>
          <t>Flory</t>
        </is>
      </c>
      <c r="D76" s="13" t="inlineStr">
        <is>
          <t>v_value_out_of_range, polymer_name, temperature_missing, D_out_of_range</t>
        </is>
      </c>
      <c r="E76" s="13" t="inlineStr">
        <is>
          <t>v_value Out of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2026-08-05T15:41:50Z</dcterms:created>
  <dcterms:modified xmlns:dcterms="http://purl.org/dc/terms/" xmlns:xsi="http://www.w3.org/2001/XMLSchema-instance" xsi:type="dcterms:W3CDTF">2026-08-05T15:41:50Z</dcterms:modified>
</cp:coreProperties>
</file>