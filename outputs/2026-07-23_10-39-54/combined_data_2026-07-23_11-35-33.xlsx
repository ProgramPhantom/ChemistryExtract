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pers" sheetId="2" state="visible" r:id="rId2"/>
    <sheet xmlns:r="http://schemas.openxmlformats.org/officeDocument/2006/relationships" name="Polymers" sheetId="3" state="visible" r:id="rId3"/>
    <sheet xmlns:r="http://schemas.openxmlformats.org/officeDocument/2006/relationships" name="Flory" sheetId="4" state="visible" r:id="rId4"/>
    <sheet xmlns:r="http://schemas.openxmlformats.org/officeDocument/2006/relationships" name="Mark-Houwink" sheetId="5" state="visible" r:id="rId5"/>
    <sheet xmlns:r="http://schemas.openxmlformats.org/officeDocument/2006/relationships" name="Fail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1"/>
    </font>
    <font>
      <name val="Segoe UI"/>
      <b val="1"/>
      <color rgb="00FFFFFF"/>
      <sz val="10"/>
    </font>
    <font>
      <name val="Segoe U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</cols>
  <sheetData>
    <row r="1">
      <c r="A1" s="1" t="inlineStr">
        <is>
          <t>Extraction &amp; Homogenisation Statistics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s="3" t="inlineStr">
        <is>
          <t>Total Data Points Collected</t>
        </is>
      </c>
      <c r="B3" s="4" t="n">
        <v>36</v>
      </c>
    </row>
    <row r="4">
      <c r="A4" s="3" t="inlineStr">
        <is>
          <t>Flory Data Points</t>
        </is>
      </c>
      <c r="B4" s="4" t="n">
        <v>36</v>
      </c>
    </row>
    <row r="5">
      <c r="A5" s="3" t="inlineStr">
        <is>
          <t>Mark-Houwink Data Points</t>
        </is>
      </c>
      <c r="B5" s="4" t="n">
        <v>0</v>
      </c>
    </row>
    <row r="6">
      <c r="A6" s="3" t="inlineStr">
        <is>
          <t>Total Failures / Issues</t>
        </is>
      </c>
      <c r="B6" s="4" t="n">
        <v>16</v>
      </c>
    </row>
    <row r="7">
      <c r="A7" s="3" t="inlineStr">
        <is>
          <t>Success Rate (%)</t>
        </is>
      </c>
      <c r="B7" s="4" t="inlineStr">
        <is>
          <t>55.6%</t>
        </is>
      </c>
    </row>
    <row r="8"/>
    <row r="9"/>
    <row r="10">
      <c r="A10" s="1" t="inlineStr">
        <is>
          <t>Failure Reasons Breakdown</t>
        </is>
      </c>
    </row>
    <row r="11">
      <c r="A11" s="2" t="inlineStr">
        <is>
          <t>Failure Reason / Field</t>
        </is>
      </c>
      <c r="B11" s="2" t="inlineStr">
        <is>
          <t>Count</t>
        </is>
      </c>
    </row>
    <row r="12">
      <c r="A12" s="3" t="inlineStr">
        <is>
          <t>general_err</t>
        </is>
      </c>
      <c r="B12" s="4" t="n">
        <v>9</v>
      </c>
    </row>
    <row r="13">
      <c r="A13" s="3" t="inlineStr">
        <is>
          <t>polymer_name</t>
        </is>
      </c>
      <c r="B13" s="4" t="n">
        <v>4</v>
      </c>
    </row>
    <row r="14">
      <c r="A14" s="3" t="inlineStr">
        <is>
          <t>solvent</t>
        </is>
      </c>
      <c r="B14" s="4" t="n">
        <v>4</v>
      </c>
    </row>
    <row r="15">
      <c r="A15" s="3" t="inlineStr">
        <is>
          <t>c_value</t>
        </is>
      </c>
      <c r="B15" s="4" t="n">
        <v>3</v>
      </c>
    </row>
    <row r="16">
      <c r="A16" s="3" t="inlineStr">
        <is>
          <t>v_value</t>
        </is>
      </c>
      <c r="B16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1" customWidth="1" min="1" max="1"/>
    <col width="15" customWidth="1" min="2" max="2"/>
    <col width="18" customWidth="1" min="3" max="3"/>
    <col width="20" customWidth="1" min="4" max="4"/>
    <col width="27" customWidth="1" min="5" max="5"/>
    <col width="21" customWidth="1" min="6" max="6"/>
  </cols>
  <sheetData>
    <row r="1">
      <c r="A1" s="2" t="inlineStr">
        <is>
          <t>Source Paper</t>
        </is>
      </c>
      <c r="B1" s="2" t="inlineStr">
        <is>
          <t>Total Tables</t>
        </is>
      </c>
      <c r="C1" s="2" t="inlineStr">
        <is>
          <t>Selected Tables</t>
        </is>
      </c>
      <c r="D1" s="2" t="inlineStr">
        <is>
          <t>Flory Data Points</t>
        </is>
      </c>
      <c r="E1" s="2" t="inlineStr">
        <is>
          <t>Mark-Houwink Data Points</t>
        </is>
      </c>
      <c r="F1" s="2" t="inlineStr">
        <is>
          <t>Failed Data Points</t>
        </is>
      </c>
    </row>
    <row r="2">
      <c r="A2" s="3" t="inlineStr">
        <is>
          <t>2009 - NMR Measure of Translational Diffusion and Fractal Dimension. Application to Molecular Mass Measurement</t>
        </is>
      </c>
      <c r="B2" s="4" t="n">
        <v>2</v>
      </c>
      <c r="C2" s="4" t="n">
        <v>2</v>
      </c>
      <c r="D2" s="4" t="n">
        <v>2</v>
      </c>
      <c r="E2" s="4" t="n">
        <v>0</v>
      </c>
      <c r="F2" s="4" t="n">
        <v>7</v>
      </c>
    </row>
    <row r="3">
      <c r="A3" s="3" t="inlineStr">
        <is>
          <t>2015 - Determination of the parameters of molecular-weight distribution of hydroxyethyl starches by diffusion-ordered NMR spectroscopy</t>
        </is>
      </c>
      <c r="B3" s="4" t="n">
        <v>4</v>
      </c>
      <c r="C3" s="4" t="n">
        <v>1</v>
      </c>
      <c r="D3" s="4" t="n">
        <v>1</v>
      </c>
      <c r="E3" s="4" t="n">
        <v>0</v>
      </c>
      <c r="F3" s="4" t="n">
        <v>1</v>
      </c>
    </row>
    <row r="4">
      <c r="A4" s="3" t="inlineStr">
        <is>
          <t>2016 - 1 H DOSY NMR Determination of the Molecular Weight and the Solution Properties of Poly-( N -acryloylmorpholine) in Various Solvents</t>
        </is>
      </c>
      <c r="B4" s="4" t="n">
        <v>2</v>
      </c>
      <c r="C4" s="4" t="n">
        <v>1</v>
      </c>
      <c r="D4" s="4" t="n">
        <v>1</v>
      </c>
      <c r="E4" s="4" t="n">
        <v>0</v>
      </c>
      <c r="F4" s="4" t="n">
        <v>1</v>
      </c>
    </row>
    <row r="5">
      <c r="A5" s="3" t="inlineStr">
        <is>
          <t>2019 - Quantitative Studies of Block Copolymers and Their Containing Homopolymer Components by Diffusion Ordered Spectroscopy</t>
        </is>
      </c>
      <c r="B5" s="4" t="n">
        <v>6</v>
      </c>
      <c r="C5" s="4" t="n">
        <v>1</v>
      </c>
      <c r="D5" s="4" t="n">
        <v>1</v>
      </c>
      <c r="E5" s="4" t="n">
        <v>0</v>
      </c>
      <c r="F5" s="4" t="n">
        <v>1</v>
      </c>
    </row>
    <row r="6">
      <c r="A6" s="3" t="inlineStr">
        <is>
          <t>2023 - A fast and efficient way of obtaining the average molecular weight of block copolymers via DOSY</t>
        </is>
      </c>
      <c r="B6" s="4" t="n">
        <v>8</v>
      </c>
      <c r="C6" s="4" t="n">
        <v>4</v>
      </c>
      <c r="D6" s="4" t="n">
        <v>3</v>
      </c>
      <c r="E6" s="4" t="n">
        <v>0</v>
      </c>
      <c r="F6" s="4" t="n">
        <v>1</v>
      </c>
    </row>
    <row r="7">
      <c r="A7" s="3" t="inlineStr">
        <is>
          <t>old</t>
        </is>
      </c>
      <c r="B7" s="4" t="n">
        <v>19</v>
      </c>
      <c r="C7" s="4" t="n">
        <v>8</v>
      </c>
      <c r="D7" s="4" t="n">
        <v>2</v>
      </c>
      <c r="E7" s="4" t="n">
        <v>0</v>
      </c>
      <c r="F7" s="4" t="n">
        <v>2</v>
      </c>
    </row>
    <row r="8">
      <c r="A8" s="3" t="inlineStr">
        <is>
          <t>test1</t>
        </is>
      </c>
      <c r="B8" s="4" t="n">
        <v>1</v>
      </c>
      <c r="C8" s="4" t="n">
        <v>1</v>
      </c>
      <c r="D8" s="4" t="n">
        <v>16</v>
      </c>
      <c r="E8" s="4" t="n">
        <v>0</v>
      </c>
      <c r="F8" s="4" t="n">
        <v>7</v>
      </c>
    </row>
    <row r="9">
      <c r="A9" s="3" t="inlineStr">
        <is>
          <t>test5</t>
        </is>
      </c>
      <c r="B9" s="4" t="n">
        <v>3</v>
      </c>
      <c r="C9" s="4" t="n">
        <v>2</v>
      </c>
      <c r="D9" s="4" t="n">
        <v>7</v>
      </c>
      <c r="E9" s="4" t="n">
        <v>0</v>
      </c>
      <c r="F9" s="4" t="n">
        <v>0</v>
      </c>
    </row>
    <row r="10">
      <c r="A10" s="3" t="inlineStr">
        <is>
          <t>test7</t>
        </is>
      </c>
      <c r="B10" s="4" t="n">
        <v>8</v>
      </c>
      <c r="C10" s="4" t="n">
        <v>4</v>
      </c>
      <c r="D10" s="4" t="n">
        <v>3</v>
      </c>
      <c r="E10" s="4" t="n">
        <v>0</v>
      </c>
      <c r="F10" s="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18" customWidth="1" min="3" max="3"/>
    <col width="25" customWidth="1" min="4" max="4"/>
    <col width="29" customWidth="1" min="5" max="5"/>
    <col width="13" customWidth="1" min="6" max="6"/>
    <col width="13" customWidth="1" min="7" max="7"/>
  </cols>
  <sheetData>
    <row r="1">
      <c r="A1" s="2" t="inlineStr">
        <is>
          <t>Polymer (Clean)</t>
        </is>
      </c>
      <c r="B1" s="2" t="inlineStr">
        <is>
          <t>Solvent (Clean)</t>
        </is>
      </c>
      <c r="C1" s="2" t="inlineStr">
        <is>
          <t>Temperature (K)</t>
        </is>
      </c>
      <c r="D1" s="2" t="inlineStr">
        <is>
          <t>c Value (log Constant)</t>
        </is>
      </c>
      <c r="E1" s="2" t="inlineStr">
        <is>
          <t>v Value (Scaling Exponent)</t>
        </is>
      </c>
      <c r="F1" s="2" t="inlineStr">
        <is>
          <t>3</t>
        </is>
      </c>
      <c r="G1" s="2" t="inlineStr">
        <is>
          <t>6</t>
        </is>
      </c>
    </row>
    <row r="2">
      <c r="A2" s="3" t="inlineStr">
        <is>
          <t>poly(butyl acrylate)</t>
        </is>
      </c>
      <c r="B2" s="3" t="inlineStr">
        <is>
          <t>Benzene</t>
        </is>
      </c>
      <c r="C2" s="4" t="n"/>
      <c r="D2" s="4" t="n">
        <v>-7.83</v>
      </c>
      <c r="E2" s="4" t="n">
        <v>0.51</v>
      </c>
      <c r="F2" s="4">
        <f>D2-E2*3</f>
        <v/>
      </c>
      <c r="G2" s="4">
        <f>D2-E2*6</f>
        <v/>
      </c>
    </row>
    <row r="3">
      <c r="A3" s="3" t="inlineStr">
        <is>
          <t>poly(butyl acrylate)</t>
        </is>
      </c>
      <c r="B3" s="3" t="inlineStr">
        <is>
          <t>Benzene</t>
        </is>
      </c>
      <c r="C3" s="4" t="n"/>
      <c r="D3" s="4" t="n">
        <v>-7.83</v>
      </c>
      <c r="E3" s="4" t="n">
        <v>0.51</v>
      </c>
      <c r="F3" s="4">
        <f>D3-E3*3</f>
        <v/>
      </c>
      <c r="G3" s="4">
        <f>D3-E3*6</f>
        <v/>
      </c>
    </row>
    <row r="4">
      <c r="A4" s="3" t="inlineStr">
        <is>
          <t>poly(ethylene oxide)</t>
        </is>
      </c>
      <c r="B4" s="3" t="inlineStr">
        <is>
          <t>Acetone-d6</t>
        </is>
      </c>
      <c r="C4" s="4" t="n"/>
      <c r="D4" s="4" t="n">
        <v>-7.67349</v>
      </c>
      <c r="E4" s="4" t="n">
        <v>0.56535</v>
      </c>
      <c r="F4" s="4">
        <f>D4-E4*3</f>
        <v/>
      </c>
      <c r="G4" s="4">
        <f>D4-E4*6</f>
        <v/>
      </c>
    </row>
    <row r="5">
      <c r="A5" s="3" t="inlineStr">
        <is>
          <t>poly(ethylene oxide)</t>
        </is>
      </c>
      <c r="B5" s="3" t="inlineStr">
        <is>
          <t>Acetone-d6</t>
        </is>
      </c>
      <c r="C5" s="4" t="n"/>
      <c r="D5" s="4" t="n">
        <v>-8.460000000000001</v>
      </c>
      <c r="E5" s="4" t="n">
        <v>0.41</v>
      </c>
      <c r="F5" s="4">
        <f>D5-E5*3</f>
        <v/>
      </c>
      <c r="G5" s="4">
        <f>D5-E5*6</f>
        <v/>
      </c>
    </row>
    <row r="6">
      <c r="A6" s="3" t="inlineStr">
        <is>
          <t>poly(ethylene oxide)</t>
        </is>
      </c>
      <c r="B6" s="3" t="inlineStr">
        <is>
          <t>Acetonitrile-d3</t>
        </is>
      </c>
      <c r="C6" s="4" t="n"/>
      <c r="D6" s="4" t="n">
        <v>-7.59019</v>
      </c>
      <c r="E6" s="4" t="n">
        <v>0.68948</v>
      </c>
      <c r="F6" s="4">
        <f>D6-E6*3</f>
        <v/>
      </c>
      <c r="G6" s="4">
        <f>D6-E6*6</f>
        <v/>
      </c>
    </row>
    <row r="7">
      <c r="A7" s="3" t="inlineStr">
        <is>
          <t>poly(ethylene oxide)</t>
        </is>
      </c>
      <c r="B7" s="3" t="inlineStr">
        <is>
          <t>Acetonitrile-d3</t>
        </is>
      </c>
      <c r="C7" s="4" t="n"/>
      <c r="D7" s="4" t="n">
        <v>-8.34</v>
      </c>
      <c r="E7" s="4" t="n">
        <v>0.44</v>
      </c>
      <c r="F7" s="4">
        <f>D7-E7*3</f>
        <v/>
      </c>
      <c r="G7" s="4">
        <f>D7-E7*6</f>
        <v/>
      </c>
    </row>
    <row r="8">
      <c r="A8" s="3" t="inlineStr">
        <is>
          <t>poly(ethylene oxide)</t>
        </is>
      </c>
      <c r="B8" s="3" t="inlineStr">
        <is>
          <t>chloroform-d</t>
        </is>
      </c>
      <c r="C8" s="4" t="n"/>
      <c r="D8" s="4" t="n">
        <v>-8.08</v>
      </c>
      <c r="E8" s="4" t="n">
        <v>0.45</v>
      </c>
      <c r="F8" s="4">
        <f>D8-E8*3</f>
        <v/>
      </c>
      <c r="G8" s="4">
        <f>D8-E8*6</f>
        <v/>
      </c>
    </row>
    <row r="9">
      <c r="A9" s="3" t="inlineStr">
        <is>
          <t>poly(ethylene oxide)</t>
        </is>
      </c>
      <c r="B9" s="3" t="inlineStr">
        <is>
          <t>Deuterium oxide</t>
        </is>
      </c>
      <c r="C9" s="4" t="n"/>
      <c r="D9" s="4" t="n">
        <v>-8.140000000000001</v>
      </c>
      <c r="E9" s="4" t="n">
        <v>0.49</v>
      </c>
      <c r="F9" s="4">
        <f>D9-E9*3</f>
        <v/>
      </c>
      <c r="G9" s="4">
        <f>D9-E9*6</f>
        <v/>
      </c>
    </row>
    <row r="10">
      <c r="A10" s="3" t="inlineStr">
        <is>
          <t>poly(ethylene oxide)</t>
        </is>
      </c>
      <c r="B10" s="3" t="inlineStr">
        <is>
          <t>Methanol-d4</t>
        </is>
      </c>
      <c r="C10" s="4" t="n"/>
      <c r="D10" s="4" t="n">
        <v>-7.84364</v>
      </c>
      <c r="E10" s="4" t="n">
        <v>0.65424</v>
      </c>
      <c r="F10" s="4">
        <f>D10-E10*3</f>
        <v/>
      </c>
      <c r="G10" s="4">
        <f>D10-E10*6</f>
        <v/>
      </c>
    </row>
    <row r="11">
      <c r="A11" s="3" t="inlineStr">
        <is>
          <t>poly(ethylene oxide)</t>
        </is>
      </c>
      <c r="B11" s="3" t="inlineStr">
        <is>
          <t>Methanol-d4</t>
        </is>
      </c>
      <c r="C11" s="4" t="n"/>
      <c r="D11" s="4" t="n">
        <v>-8.32</v>
      </c>
      <c r="E11" s="4" t="n">
        <v>0.45</v>
      </c>
      <c r="F11" s="4">
        <f>D11-E11*3</f>
        <v/>
      </c>
      <c r="G11" s="4">
        <f>D11-E11*6</f>
        <v/>
      </c>
    </row>
    <row r="12">
      <c r="A12" s="3" t="inlineStr">
        <is>
          <t>poly(ethylene oxide)</t>
        </is>
      </c>
      <c r="B12" s="3" t="inlineStr">
        <is>
          <t>Tetrahydrofuran-d8</t>
        </is>
      </c>
      <c r="C12" s="4" t="n"/>
      <c r="D12" s="4" t="n">
        <v>-7.73384</v>
      </c>
      <c r="E12" s="4" t="n">
        <v>0.6831</v>
      </c>
      <c r="F12" s="4">
        <f>D12-E12*3</f>
        <v/>
      </c>
      <c r="G12" s="4">
        <f>D12-E12*6</f>
        <v/>
      </c>
    </row>
    <row r="13">
      <c r="A13" s="3" t="inlineStr">
        <is>
          <t>poly(ethylene oxide)</t>
        </is>
      </c>
      <c r="B13" s="3" t="inlineStr">
        <is>
          <t>Tetrahydrofuran-d8</t>
        </is>
      </c>
      <c r="C13" s="4" t="n"/>
      <c r="D13" s="4" t="n">
        <v>-8.26</v>
      </c>
      <c r="E13" s="4" t="n">
        <v>0.46</v>
      </c>
      <c r="F13" s="4">
        <f>D13-E13*3</f>
        <v/>
      </c>
      <c r="G13" s="4">
        <f>D13-E13*6</f>
        <v/>
      </c>
    </row>
    <row r="14">
      <c r="A14" s="3" t="inlineStr">
        <is>
          <t>poly(methyl methacrylate)</t>
        </is>
      </c>
      <c r="B14" s="3" t="inlineStr">
        <is>
          <t>dimethyl sulfoxide</t>
        </is>
      </c>
      <c r="C14" s="4" t="n"/>
      <c r="D14" s="4" t="n">
        <v>-8.505789999999999</v>
      </c>
      <c r="E14" s="4" t="n">
        <v>0.47463</v>
      </c>
      <c r="F14" s="4">
        <f>D14-E14*3</f>
        <v/>
      </c>
      <c r="G14" s="4">
        <f>D14-E14*6</f>
        <v/>
      </c>
    </row>
    <row r="15">
      <c r="A15" s="3" t="inlineStr">
        <is>
          <t>poly(methyl methacrylate)</t>
        </is>
      </c>
      <c r="B15" s="3" t="inlineStr">
        <is>
          <t>Tetrahydrofuran-d8</t>
        </is>
      </c>
      <c r="C15" s="4" t="n"/>
      <c r="D15" s="4" t="n">
        <v>-7.61469</v>
      </c>
      <c r="E15" s="4" t="n">
        <v>0.69474</v>
      </c>
      <c r="F15" s="4">
        <f>D15-E15*3</f>
        <v/>
      </c>
      <c r="G15" s="4">
        <f>D15-E15*6</f>
        <v/>
      </c>
    </row>
    <row r="16">
      <c r="A16" s="3" t="inlineStr">
        <is>
          <t>poly(methyl methacrylate)</t>
        </is>
      </c>
      <c r="B16" s="3" t="inlineStr">
        <is>
          <t>toluene</t>
        </is>
      </c>
      <c r="C16" s="4" t="n"/>
      <c r="D16" s="4" t="n">
        <v>-8.109999999999999</v>
      </c>
      <c r="E16" s="4" t="n">
        <v>0.43</v>
      </c>
      <c r="F16" s="4">
        <f>D16-E16*3</f>
        <v/>
      </c>
      <c r="G16" s="4">
        <f>D16-E16*6</f>
        <v/>
      </c>
    </row>
    <row r="17">
      <c r="A17" s="3" t="inlineStr">
        <is>
          <t>poly(methyl methacrylate)</t>
        </is>
      </c>
      <c r="B17" s="3" t="inlineStr">
        <is>
          <t>toluene</t>
        </is>
      </c>
      <c r="C17" s="4" t="n"/>
      <c r="D17" s="4" t="n">
        <v>-8.109999999999999</v>
      </c>
      <c r="E17" s="4" t="n">
        <v>0.43</v>
      </c>
      <c r="F17" s="4">
        <f>D17-E17*3</f>
        <v/>
      </c>
      <c r="G17" s="4">
        <f>D17-E17*6</f>
        <v/>
      </c>
    </row>
    <row r="18">
      <c r="A18" s="3" t="inlineStr">
        <is>
          <t>Polystyrene</t>
        </is>
      </c>
      <c r="B18" s="3" t="inlineStr">
        <is>
          <t>Acetone-d6</t>
        </is>
      </c>
      <c r="C18" s="4" t="n"/>
      <c r="D18" s="4" t="n">
        <v>-7.67914</v>
      </c>
      <c r="E18" s="4" t="n">
        <v>0.49819</v>
      </c>
      <c r="F18" s="4">
        <f>D18-E18*3</f>
        <v/>
      </c>
      <c r="G18" s="4">
        <f>D18-E18*6</f>
        <v/>
      </c>
    </row>
    <row r="19">
      <c r="A19" s="3" t="inlineStr">
        <is>
          <t>Polystyrene</t>
        </is>
      </c>
      <c r="B19" s="3" t="inlineStr">
        <is>
          <t>chloroform-d</t>
        </is>
      </c>
      <c r="C19" s="4" t="n"/>
      <c r="D19" s="4" t="n">
        <v>-7.56169</v>
      </c>
      <c r="E19" s="4" t="n">
        <v>0.70628</v>
      </c>
      <c r="F19" s="4">
        <f>D19-E19*3</f>
        <v/>
      </c>
      <c r="G19" s="4">
        <f>D19-E19*6</f>
        <v/>
      </c>
    </row>
    <row r="20">
      <c r="A20" s="3" t="inlineStr">
        <is>
          <t>Polystyrene</t>
        </is>
      </c>
      <c r="B20" s="3" t="inlineStr">
        <is>
          <t>Tetrahydrofuran-d8</t>
        </is>
      </c>
      <c r="C20" s="4" t="n"/>
      <c r="D20" s="4" t="n">
        <v>-7.65584</v>
      </c>
      <c r="E20" s="4" t="n">
        <v>0.519361</v>
      </c>
      <c r="F20" s="4">
        <f>D20-E20*3</f>
        <v/>
      </c>
      <c r="G20" s="4">
        <f>D20-E20*6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1" customWidth="1" min="1" max="1"/>
    <col width="12" customWidth="1" min="2" max="2"/>
    <col width="42" customWidth="1" min="3" max="3"/>
    <col width="42" customWidth="1" min="4" max="4"/>
    <col width="21" customWidth="1" min="5" max="5"/>
    <col width="21" customWidth="1" min="6" max="6"/>
    <col width="18" customWidth="1" min="7" max="7"/>
    <col width="25" customWidth="1" min="8" max="8"/>
    <col width="78" customWidth="1" min="9" max="9"/>
    <col width="29" customWidth="1" min="10" max="10"/>
    <col width="68" customWidth="1" min="11" max="11"/>
    <col width="19" customWidth="1" min="12" max="12"/>
    <col width="19" customWidth="1" min="13" max="13"/>
    <col width="20" customWidth="1" min="14" max="14"/>
    <col width="16" customWidth="1" min="15" max="15"/>
    <col width="17" customWidth="1" min="16" max="16"/>
    <col width="13" customWidth="1" min="17" max="17"/>
    <col width="13" customWidth="1" min="18" max="18"/>
    <col width="12" customWidth="1" min="19" max="19"/>
    <col width="21" customWidth="1" min="20" max="20"/>
    <col width="28" customWidth="1" min="21" max="21"/>
    <col width="12" customWidth="1" min="22" max="22"/>
  </cols>
  <sheetData>
    <row r="1">
      <c r="A1" s="2" t="inlineStr">
        <is>
          <t>Source Paper</t>
        </is>
      </c>
      <c r="B1" s="2" t="inlineStr">
        <is>
          <t>Table</t>
        </is>
      </c>
      <c r="C1" s="2" t="inlineStr">
        <is>
          <t>Polymer (Original)</t>
        </is>
      </c>
      <c r="D1" s="2" t="inlineStr">
        <is>
          <t>Polymer (Clean)</t>
        </is>
      </c>
      <c r="E1" s="2" t="inlineStr">
        <is>
          <t>Solvent (Original)</t>
        </is>
      </c>
      <c r="F1" s="2" t="inlineStr">
        <is>
          <t>Solvent (Clean)</t>
        </is>
      </c>
      <c r="G1" s="2" t="inlineStr">
        <is>
          <t>Temperature (K)</t>
        </is>
      </c>
      <c r="H1" s="2" t="inlineStr">
        <is>
          <t>c Value (log Constant)</t>
        </is>
      </c>
      <c r="I1" s="2" t="inlineStr">
        <is>
          <t>c Transformation</t>
        </is>
      </c>
      <c r="J1" s="2" t="inlineStr">
        <is>
          <t>v Value (Scaling Exponent)</t>
        </is>
      </c>
      <c r="K1" s="2" t="inlineStr">
        <is>
          <t>v Transformation</t>
        </is>
      </c>
      <c r="L1" s="2" t="inlineStr">
        <is>
          <t>Polymer Error</t>
        </is>
      </c>
      <c r="M1" s="2" t="inlineStr">
        <is>
          <t>Solvent Error</t>
        </is>
      </c>
      <c r="N1" s="2" t="inlineStr">
        <is>
          <t>Temperature Error</t>
        </is>
      </c>
      <c r="O1" s="2" t="inlineStr">
        <is>
          <t>c_value Error</t>
        </is>
      </c>
      <c r="P1" s="2" t="inlineStr">
        <is>
          <t>General Error</t>
        </is>
      </c>
      <c r="Q1" s="2" t="n">
        <v>3</v>
      </c>
      <c r="R1" s="2" t="n">
        <v>6</v>
      </c>
      <c r="T1" s="2" t="inlineStr">
        <is>
          <t>Solvent</t>
        </is>
      </c>
      <c r="U1" s="2" t="inlineStr">
        <is>
          <t>Polymer</t>
        </is>
      </c>
      <c r="V1" s="2" t="inlineStr">
        <is>
          <t>Count</t>
        </is>
      </c>
    </row>
    <row r="2">
      <c r="A2" s="5" t="inlineStr">
        <is>
          <t>2009 - NMR Measure of Translational Diffusion and Fractal Dimension. Application to Molecular Mass Measurement</t>
        </is>
      </c>
      <c r="B2" s="5" t="inlineStr">
        <is>
          <t>table1</t>
        </is>
      </c>
      <c r="C2" s="5" t="inlineStr">
        <is>
          <t>Various Geometries (Theoretical Limits)</t>
        </is>
      </c>
      <c r="D2" s="5" t="inlineStr">
        <is>
          <t>Various Geometries (Theoretical Limits)</t>
        </is>
      </c>
      <c r="E2" s="5" t="inlineStr">
        <is>
          <t>N/A</t>
        </is>
      </c>
      <c r="F2" s="5" t="inlineStr">
        <is>
          <t>N/A</t>
        </is>
      </c>
      <c r="G2" s="6" t="n"/>
      <c r="H2" s="6" t="inlineStr">
        <is>
          <t>Not found</t>
        </is>
      </c>
      <c r="I2" s="5" t="inlineStr">
        <is>
          <t>N/A</t>
        </is>
      </c>
      <c r="J2" s="6" t="inlineStr">
        <is>
          <t>Not found</t>
        </is>
      </c>
      <c r="K2" s="5" t="inlineStr">
        <is>
          <t>None</t>
        </is>
      </c>
      <c r="L2" s="5" t="inlineStr">
        <is>
          <t>Invalid chemical</t>
        </is>
      </c>
      <c r="M2" s="5" t="inlineStr">
        <is>
          <t>Not found</t>
        </is>
      </c>
      <c r="N2" s="5" t="inlineStr">
        <is>
          <t>None</t>
        </is>
      </c>
      <c r="O2" s="5" t="inlineStr">
        <is>
          <t>Not found</t>
        </is>
      </c>
      <c r="P2" s="5" t="inlineStr">
        <is>
          <t>None</t>
        </is>
      </c>
      <c r="Q2" s="7" t="n"/>
      <c r="R2" s="7" t="n"/>
      <c r="T2" s="3" t="inlineStr">
        <is>
          <t>Acetone-d6</t>
        </is>
      </c>
      <c r="U2" s="3" t="inlineStr">
        <is>
          <t>Polystyrene</t>
        </is>
      </c>
      <c r="V2" s="4" t="n">
        <v>1</v>
      </c>
    </row>
    <row r="3">
      <c r="A3" s="5" t="inlineStr">
        <is>
          <t>2009 - NMR Measure of Translational Diffusion and Fractal Dimension. Application to Molecular Mass Measurement</t>
        </is>
      </c>
      <c r="B3" s="5" t="inlineStr">
        <is>
          <t>table2</t>
        </is>
      </c>
      <c r="C3" s="5" t="inlineStr">
        <is>
          <t>globular proteins</t>
        </is>
      </c>
      <c r="D3" s="5" t="inlineStr">
        <is>
          <t>globular proteins</t>
        </is>
      </c>
      <c r="E3" s="5" t="inlineStr">
        <is>
          <t>N/A</t>
        </is>
      </c>
      <c r="F3" s="5" t="inlineStr">
        <is>
          <t>N/A</t>
        </is>
      </c>
      <c r="G3" s="6" t="n"/>
      <c r="H3" s="6" t="inlineStr">
        <is>
          <t>Not found</t>
        </is>
      </c>
      <c r="I3" s="5" t="inlineStr">
        <is>
          <t>none</t>
        </is>
      </c>
      <c r="J3" s="6" t="n">
        <v>0.39</v>
      </c>
      <c r="K3" s="5" t="inlineStr">
        <is>
          <t>none</t>
        </is>
      </c>
      <c r="L3" s="5" t="inlineStr">
        <is>
          <t>Invalid chemical</t>
        </is>
      </c>
      <c r="M3" s="5" t="inlineStr">
        <is>
          <t>Not found</t>
        </is>
      </c>
      <c r="N3" s="5" t="inlineStr">
        <is>
          <t>None</t>
        </is>
      </c>
      <c r="O3" s="5" t="inlineStr">
        <is>
          <t>Not found</t>
        </is>
      </c>
      <c r="P3" s="5" t="inlineStr">
        <is>
          <t>None</t>
        </is>
      </c>
      <c r="Q3" s="7" t="n"/>
      <c r="R3" s="7" t="n"/>
      <c r="T3" s="3" t="inlineStr">
        <is>
          <t>Acetone-d6</t>
        </is>
      </c>
      <c r="U3" s="3" t="inlineStr">
        <is>
          <t>poly(ethylene oxide)</t>
        </is>
      </c>
      <c r="V3" s="4" t="n">
        <v>2</v>
      </c>
    </row>
    <row r="4">
      <c r="A4" s="5" t="inlineStr">
        <is>
          <t>2015 - Determination of the parameters of molecular-weight distribution of hydroxyethyl starches by diffusion-ordered NMR spectroscopy</t>
        </is>
      </c>
      <c r="B4" s="5" t="inlineStr">
        <is>
          <t>table3</t>
        </is>
      </c>
      <c r="C4" s="5" t="inlineStr">
        <is>
          <t>HES</t>
        </is>
      </c>
      <c r="D4" s="5" t="inlineStr">
        <is>
          <t>hydroxyethyl starch</t>
        </is>
      </c>
      <c r="E4" s="5" t="inlineStr">
        <is>
          <t>unknown</t>
        </is>
      </c>
      <c r="F4" s="5" t="inlineStr">
        <is>
          <t>unknown</t>
        </is>
      </c>
      <c r="G4" s="6" t="n"/>
      <c r="H4" s="6" t="n">
        <v>-9.62427303336394</v>
      </c>
      <c r="I4" s="5" t="inlineStr">
        <is>
          <t>Derived from regression intercept b in log M = a log D + b (log(b') = -b/a)</t>
        </is>
      </c>
      <c r="J4" s="6" t="n">
        <v>0.3826140189776553</v>
      </c>
      <c r="K4" s="5" t="inlineStr">
        <is>
          <t>Derived from regression slope a in log M = a log D + b (v = -1/a)</t>
        </is>
      </c>
      <c r="L4" s="5" t="inlineStr">
        <is>
          <t>None</t>
        </is>
      </c>
      <c r="M4" s="5" t="inlineStr">
        <is>
          <t>Invalid chemical</t>
        </is>
      </c>
      <c r="N4" s="5" t="inlineStr">
        <is>
          <t>None</t>
        </is>
      </c>
      <c r="O4" s="5" t="inlineStr">
        <is>
          <t>None</t>
        </is>
      </c>
      <c r="P4" s="5" t="inlineStr">
        <is>
          <t>None</t>
        </is>
      </c>
      <c r="Q4" s="7" t="n"/>
      <c r="R4" s="7" t="n"/>
      <c r="T4" s="3" t="inlineStr">
        <is>
          <t>Acetonitrile-d3</t>
        </is>
      </c>
      <c r="U4" s="3" t="inlineStr">
        <is>
          <t>poly(ethylene oxide)</t>
        </is>
      </c>
      <c r="V4" s="4" t="n">
        <v>2</v>
      </c>
    </row>
    <row r="5">
      <c r="A5" s="5" t="inlineStr">
        <is>
          <t>2016 - 1 H DOSY NMR Determination of the Molecular Weight and the Solution Properties of Poly-( N -acryloylmorpholine) in Various Solvents</t>
        </is>
      </c>
      <c r="B5" s="5" t="inlineStr">
        <is>
          <t>table2</t>
        </is>
      </c>
      <c r="C5" s="5" t="inlineStr">
        <is>
          <t>PNAM</t>
        </is>
      </c>
      <c r="D5" s="5" t="inlineStr">
        <is>
          <t>poly(N-acrylamide)</t>
        </is>
      </c>
      <c r="E5" s="5" t="inlineStr">
        <is>
          <t>D2O</t>
        </is>
      </c>
      <c r="F5" s="5" t="inlineStr">
        <is>
          <t>Deuterium oxide</t>
        </is>
      </c>
      <c r="G5" s="6" t="n"/>
      <c r="H5" s="6" t="inlineStr">
        <is>
          <t>Not found</t>
        </is>
      </c>
      <c r="I5" s="5" t="inlineStr">
        <is>
          <t>Not found</t>
        </is>
      </c>
      <c r="J5" s="6" t="n">
        <v>0.48</v>
      </c>
      <c r="K5" s="5" t="inlineStr">
        <is>
          <t>None</t>
        </is>
      </c>
      <c r="L5" s="5" t="inlineStr">
        <is>
          <t>None</t>
        </is>
      </c>
      <c r="M5" s="5" t="inlineStr">
        <is>
          <t>None</t>
        </is>
      </c>
      <c r="N5" s="5" t="inlineStr">
        <is>
          <t>None</t>
        </is>
      </c>
      <c r="O5" s="5" t="inlineStr">
        <is>
          <t>Not found</t>
        </is>
      </c>
      <c r="P5" s="5" t="inlineStr">
        <is>
          <t>None</t>
        </is>
      </c>
      <c r="Q5" s="7" t="n"/>
      <c r="R5" s="7" t="n"/>
      <c r="T5" s="3" t="inlineStr">
        <is>
          <t>Benzene</t>
        </is>
      </c>
      <c r="U5" s="3" t="inlineStr">
        <is>
          <t>Polystyrene</t>
        </is>
      </c>
      <c r="V5" s="4" t="n">
        <v>1</v>
      </c>
    </row>
    <row r="6">
      <c r="A6" s="5" t="inlineStr">
        <is>
          <t>2019 - Quantitative Studies of Block Copolymers and Their Containing Homopolymer Components by Diffusion Ordered Spectroscopy</t>
        </is>
      </c>
      <c r="B6" s="5" t="inlineStr">
        <is>
          <t>table1</t>
        </is>
      </c>
      <c r="C6" s="5" t="inlineStr">
        <is>
          <t>PS</t>
        </is>
      </c>
      <c r="D6" s="5" t="inlineStr">
        <is>
          <t>Polystyrene</t>
        </is>
      </c>
      <c r="E6" s="5" t="inlineStr">
        <is>
          <t>Unknown</t>
        </is>
      </c>
      <c r="F6" s="5" t="inlineStr">
        <is>
          <t>Unknown</t>
        </is>
      </c>
      <c r="G6" s="6" t="n"/>
      <c r="H6" s="6" t="n">
        <v>-7.490797477668897</v>
      </c>
      <c r="I6" s="5" t="inlineStr">
        <is>
          <t>lg(3.23e-8)</t>
        </is>
      </c>
      <c r="J6" s="6" t="n">
        <v>0.553</v>
      </c>
      <c r="K6" s="5" t="inlineStr">
        <is>
          <t>v = -b (since D = a * M^b)</t>
        </is>
      </c>
      <c r="L6" s="5" t="inlineStr">
        <is>
          <t>None</t>
        </is>
      </c>
      <c r="M6" s="5" t="inlineStr">
        <is>
          <t>Invalid chemical</t>
        </is>
      </c>
      <c r="N6" s="5" t="inlineStr">
        <is>
          <t>None</t>
        </is>
      </c>
      <c r="O6" s="5" t="inlineStr">
        <is>
          <t>None</t>
        </is>
      </c>
      <c r="P6" s="5" t="inlineStr">
        <is>
          <t>None</t>
        </is>
      </c>
      <c r="Q6" s="7" t="n"/>
      <c r="R6" s="7" t="n"/>
      <c r="T6" s="3" t="inlineStr">
        <is>
          <t>Benzene</t>
        </is>
      </c>
      <c r="U6" s="3" t="inlineStr">
        <is>
          <t>poly(butyl acrylate)</t>
        </is>
      </c>
      <c r="V6" s="4" t="n">
        <v>2</v>
      </c>
    </row>
    <row r="7">
      <c r="A7" s="3" t="inlineStr">
        <is>
          <t>2023 - A fast and efficient way of obtaining the average molecular weight of block copolymers via DOSY</t>
        </is>
      </c>
      <c r="B7" s="3" t="inlineStr">
        <is>
          <t>table1</t>
        </is>
      </c>
      <c r="C7" s="3" t="inlineStr">
        <is>
          <t>pMMA</t>
        </is>
      </c>
      <c r="D7" s="3" t="inlineStr">
        <is>
          <t>poly(methyl methacrylate)</t>
        </is>
      </c>
      <c r="E7" s="3" t="inlineStr">
        <is>
          <t>Toluene</t>
        </is>
      </c>
      <c r="F7" s="3" t="inlineStr">
        <is>
          <t>toluene</t>
        </is>
      </c>
      <c r="G7" s="4" t="n"/>
      <c r="H7" s="4" t="n">
        <v>-8.109999999999999</v>
      </c>
      <c r="I7" s="3" t="inlineStr">
        <is>
          <t>None</t>
        </is>
      </c>
      <c r="J7" s="4" t="n">
        <v>0.43</v>
      </c>
      <c r="K7" s="3" t="inlineStr">
        <is>
          <t>None</t>
        </is>
      </c>
      <c r="L7" s="3" t="inlineStr">
        <is>
          <t>None</t>
        </is>
      </c>
      <c r="M7" s="3" t="inlineStr">
        <is>
          <t>None</t>
        </is>
      </c>
      <c r="N7" s="3" t="inlineStr">
        <is>
          <t>None</t>
        </is>
      </c>
      <c r="O7" s="3" t="inlineStr">
        <is>
          <t>None</t>
        </is>
      </c>
      <c r="P7" s="3" t="inlineStr">
        <is>
          <t>None</t>
        </is>
      </c>
      <c r="Q7" s="4">
        <f>H7-J7*3</f>
        <v/>
      </c>
      <c r="R7" s="4">
        <f>H7-J7*6</f>
        <v/>
      </c>
      <c r="T7" s="3" t="inlineStr">
        <is>
          <t>Deuterium oxide</t>
        </is>
      </c>
      <c r="U7" s="3" t="inlineStr">
        <is>
          <t>poly(ethylene oxide)</t>
        </is>
      </c>
      <c r="V7" s="4" t="n">
        <v>1</v>
      </c>
    </row>
    <row r="8">
      <c r="A8" s="3" t="inlineStr">
        <is>
          <t>2023 - A fast and efficient way of obtaining the average molecular weight of block copolymers via DOSY</t>
        </is>
      </c>
      <c r="B8" s="3" t="inlineStr">
        <is>
          <t>table3</t>
        </is>
      </c>
      <c r="C8" s="3" t="inlineStr">
        <is>
          <t>pBA</t>
        </is>
      </c>
      <c r="D8" s="3" t="inlineStr">
        <is>
          <t>poly(butyl acrylate)</t>
        </is>
      </c>
      <c r="E8" s="3" t="inlineStr">
        <is>
          <t>Benzene</t>
        </is>
      </c>
      <c r="F8" s="3" t="inlineStr">
        <is>
          <t>Benzene</t>
        </is>
      </c>
      <c r="G8" s="4" t="n"/>
      <c r="H8" s="4" t="n">
        <v>-7.83</v>
      </c>
      <c r="I8" s="3" t="inlineStr">
        <is>
          <t>log_form_preserved</t>
        </is>
      </c>
      <c r="J8" s="4" t="n">
        <v>0.51</v>
      </c>
      <c r="K8" s="3" t="inlineStr">
        <is>
          <t>none</t>
        </is>
      </c>
      <c r="L8" s="3" t="inlineStr">
        <is>
          <t>None</t>
        </is>
      </c>
      <c r="M8" s="3" t="inlineStr">
        <is>
          <t>None</t>
        </is>
      </c>
      <c r="N8" s="3" t="inlineStr">
        <is>
          <t>None</t>
        </is>
      </c>
      <c r="O8" s="3" t="inlineStr">
        <is>
          <t>None</t>
        </is>
      </c>
      <c r="P8" s="3" t="inlineStr">
        <is>
          <t>None</t>
        </is>
      </c>
      <c r="Q8" s="4">
        <f>H8-J8*3</f>
        <v/>
      </c>
      <c r="R8" s="4">
        <f>H8-J8*6</f>
        <v/>
      </c>
      <c r="T8" s="3" t="inlineStr">
        <is>
          <t>Methanol-d4</t>
        </is>
      </c>
      <c r="U8" s="3" t="inlineStr">
        <is>
          <t>poly(ethylene oxide)</t>
        </is>
      </c>
      <c r="V8" s="4" t="n">
        <v>2</v>
      </c>
    </row>
    <row r="9">
      <c r="A9" s="5" t="inlineStr">
        <is>
          <t>2023 - A fast and efficient way of obtaining the average molecular weight of block copolymers via DOSY</t>
        </is>
      </c>
      <c r="B9" s="5" t="inlineStr">
        <is>
          <t>table6</t>
        </is>
      </c>
      <c r="C9" s="5" t="inlineStr">
        <is>
          <t>pPEGMEA</t>
        </is>
      </c>
      <c r="D9" s="5" t="inlineStr">
        <is>
          <t>pPEGMEA</t>
        </is>
      </c>
      <c r="E9" s="5" t="inlineStr">
        <is>
          <t>Water</t>
        </is>
      </c>
      <c r="F9" s="5" t="inlineStr">
        <is>
          <t>Water</t>
        </is>
      </c>
      <c r="G9" s="6" t="n"/>
      <c r="H9" s="6" t="n">
        <v>-8.31</v>
      </c>
      <c r="I9" s="5" t="inlineStr">
        <is>
          <t>none</t>
        </is>
      </c>
      <c r="J9" s="6" t="n">
        <v>0.47</v>
      </c>
      <c r="K9" s="5" t="inlineStr">
        <is>
          <t>none</t>
        </is>
      </c>
      <c r="L9" s="5" t="inlineStr">
        <is>
          <t>Invalid chemical</t>
        </is>
      </c>
      <c r="M9" s="5" t="inlineStr">
        <is>
          <t>None</t>
        </is>
      </c>
      <c r="N9" s="5" t="inlineStr">
        <is>
          <t>None</t>
        </is>
      </c>
      <c r="O9" s="5" t="inlineStr">
        <is>
          <t>None</t>
        </is>
      </c>
      <c r="P9" s="5" t="inlineStr">
        <is>
          <t>None</t>
        </is>
      </c>
      <c r="Q9" s="7" t="n"/>
      <c r="R9" s="7" t="n"/>
      <c r="T9" s="3" t="inlineStr">
        <is>
          <t>Tetrahydrofuran-d8</t>
        </is>
      </c>
      <c r="U9" s="3" t="inlineStr">
        <is>
          <t>Polystyrene</t>
        </is>
      </c>
      <c r="V9" s="4" t="n">
        <v>1</v>
      </c>
    </row>
    <row r="10">
      <c r="A10" s="5" t="inlineStr">
        <is>
          <t>old</t>
        </is>
      </c>
      <c r="B10" s="5" t="inlineStr">
        <is>
          <t>table5</t>
        </is>
      </c>
      <c r="C10" s="5" t="inlineStr">
        <is>
          <t>Poly isoprene</t>
        </is>
      </c>
      <c r="D10" s="5" t="inlineStr">
        <is>
          <t>polyisoprene</t>
        </is>
      </c>
      <c r="E10" s="5" t="inlineStr">
        <is>
          <t>1,4-dioxane</t>
        </is>
      </c>
      <c r="F10" s="5" t="inlineStr">
        <is>
          <t>1,4-dioxane</t>
        </is>
      </c>
      <c r="G10" s="6" t="n"/>
      <c r="H10" s="6" t="n">
        <v>-2</v>
      </c>
      <c r="I10" s="5" t="inlineStr">
        <is>
          <t>linear_to_log10</t>
        </is>
      </c>
      <c r="J10" s="6" t="n">
        <v>0.498</v>
      </c>
      <c r="K10" s="5" t="inlineStr">
        <is>
          <t>none</t>
        </is>
      </c>
      <c r="L10" s="5" t="inlineStr">
        <is>
          <t>None</t>
        </is>
      </c>
      <c r="M10" s="5" t="inlineStr">
        <is>
          <t>None</t>
        </is>
      </c>
      <c r="N10" s="5" t="inlineStr">
        <is>
          <t>None</t>
        </is>
      </c>
      <c r="O10" s="5" t="inlineStr">
        <is>
          <t>None</t>
        </is>
      </c>
      <c r="P10" s="5" t="inlineStr">
        <is>
          <t>D out of range</t>
        </is>
      </c>
      <c r="Q10" s="7" t="n"/>
      <c r="R10" s="7" t="n"/>
      <c r="T10" s="3" t="inlineStr">
        <is>
          <t>Tetrahydrofuran-d8</t>
        </is>
      </c>
      <c r="U10" s="3" t="inlineStr">
        <is>
          <t>poly(ethylene oxide)</t>
        </is>
      </c>
      <c r="V10" s="4" t="n">
        <v>2</v>
      </c>
    </row>
    <row r="11">
      <c r="A11" s="5" t="inlineStr">
        <is>
          <t>old</t>
        </is>
      </c>
      <c r="B11" s="5" t="inlineStr">
        <is>
          <t>table10</t>
        </is>
      </c>
      <c r="C11" s="5" t="inlineStr">
        <is>
          <t>Polystyrene</t>
        </is>
      </c>
      <c r="D11" s="5" t="inlineStr">
        <is>
          <t>Polystyrene</t>
        </is>
      </c>
      <c r="E11" s="5" t="inlineStr">
        <is>
          <t>cyclohexane</t>
        </is>
      </c>
      <c r="F11" s="5" t="inlineStr">
        <is>
          <t>cyclohexane</t>
        </is>
      </c>
      <c r="G11" s="6" t="n"/>
      <c r="H11" s="6" t="n">
        <v>-1.616184634019569</v>
      </c>
      <c r="I11" s="5" t="inlineStr">
        <is>
          <t>linear_to_log10</t>
        </is>
      </c>
      <c r="J11" s="6" t="n">
        <v>0.512</v>
      </c>
      <c r="K11" s="5" t="inlineStr">
        <is>
          <t>none</t>
        </is>
      </c>
      <c r="L11" s="5" t="inlineStr">
        <is>
          <t>None</t>
        </is>
      </c>
      <c r="M11" s="5" t="inlineStr">
        <is>
          <t>None</t>
        </is>
      </c>
      <c r="N11" s="5" t="inlineStr">
        <is>
          <t>None</t>
        </is>
      </c>
      <c r="O11" s="5" t="inlineStr">
        <is>
          <t>None</t>
        </is>
      </c>
      <c r="P11" s="5" t="inlineStr">
        <is>
          <t>D out of range</t>
        </is>
      </c>
      <c r="Q11" s="7" t="n"/>
      <c r="R11" s="7" t="n"/>
      <c r="T11" s="3" t="inlineStr">
        <is>
          <t>Tetrahydrofuran-d8</t>
        </is>
      </c>
      <c r="U11" s="3" t="inlineStr">
        <is>
          <t>poly(methyl methacrylate)</t>
        </is>
      </c>
      <c r="V11" s="4" t="n">
        <v>1</v>
      </c>
    </row>
    <row r="12">
      <c r="A12" s="3" t="inlineStr">
        <is>
          <t>test1</t>
        </is>
      </c>
      <c r="B12" s="3" t="inlineStr">
        <is>
          <t>table1</t>
        </is>
      </c>
      <c r="C12" s="3" t="inlineStr">
        <is>
          <t>PS</t>
        </is>
      </c>
      <c r="D12" s="3" t="inlineStr">
        <is>
          <t>Polystyrene</t>
        </is>
      </c>
      <c r="E12" s="3" t="inlineStr">
        <is>
          <t>THF-d8</t>
        </is>
      </c>
      <c r="F12" s="3" t="inlineStr">
        <is>
          <t>Tetrahydrofuran-d8</t>
        </is>
      </c>
      <c r="G12" s="4" t="n"/>
      <c r="H12" s="4" t="n">
        <v>-7.65584</v>
      </c>
      <c r="I12" s="3" t="inlineStr">
        <is>
          <t>log10</t>
        </is>
      </c>
      <c r="J12" s="4" t="n">
        <v>0.519361</v>
      </c>
      <c r="K12" s="3" t="inlineStr">
        <is>
          <t>none</t>
        </is>
      </c>
      <c r="L12" s="3" t="inlineStr">
        <is>
          <t>None</t>
        </is>
      </c>
      <c r="M12" s="3" t="inlineStr">
        <is>
          <t>None</t>
        </is>
      </c>
      <c r="N12" s="3" t="inlineStr">
        <is>
          <t>None</t>
        </is>
      </c>
      <c r="O12" s="3" t="inlineStr">
        <is>
          <t>None</t>
        </is>
      </c>
      <c r="P12" s="3" t="inlineStr">
        <is>
          <t>None</t>
        </is>
      </c>
      <c r="Q12" s="4">
        <f>H12-J12*3</f>
        <v/>
      </c>
      <c r="R12" s="4">
        <f>H12-J12*6</f>
        <v/>
      </c>
      <c r="T12" s="3" t="inlineStr">
        <is>
          <t>chloroform-d</t>
        </is>
      </c>
      <c r="U12" s="3" t="inlineStr">
        <is>
          <t>Polystyrene</t>
        </is>
      </c>
      <c r="V12" s="4" t="n">
        <v>1</v>
      </c>
    </row>
    <row r="13">
      <c r="A13" s="5" t="inlineStr">
        <is>
          <t>test1</t>
        </is>
      </c>
      <c r="B13" s="5" t="inlineStr">
        <is>
          <t>table1</t>
        </is>
      </c>
      <c r="C13" s="5" t="inlineStr">
        <is>
          <t>PS</t>
        </is>
      </c>
      <c r="D13" s="5" t="inlineStr">
        <is>
          <t>Polystyrene</t>
        </is>
      </c>
      <c r="E13" s="5" t="inlineStr">
        <is>
          <t>CDCl3</t>
        </is>
      </c>
      <c r="F13" s="5" t="inlineStr">
        <is>
          <t>chloroform-d</t>
        </is>
      </c>
      <c r="G13" s="6" t="n"/>
      <c r="H13" s="6" t="n">
        <v>-7.63029</v>
      </c>
      <c r="I13" s="5" t="inlineStr">
        <is>
          <t>log10</t>
        </is>
      </c>
      <c r="J13" s="6" t="n">
        <v>0.74596</v>
      </c>
      <c r="K13" s="5" t="inlineStr">
        <is>
          <t>none</t>
        </is>
      </c>
      <c r="L13" s="5" t="inlineStr">
        <is>
          <t>None</t>
        </is>
      </c>
      <c r="M13" s="5" t="inlineStr">
        <is>
          <t>None</t>
        </is>
      </c>
      <c r="N13" s="5" t="inlineStr">
        <is>
          <t>None</t>
        </is>
      </c>
      <c r="O13" s="5" t="inlineStr">
        <is>
          <t>None</t>
        </is>
      </c>
      <c r="P13" s="5" t="inlineStr">
        <is>
          <t>D out of range</t>
        </is>
      </c>
      <c r="Q13" s="7" t="n"/>
      <c r="R13" s="7" t="n"/>
      <c r="T13" s="3" t="inlineStr">
        <is>
          <t>chloroform-d</t>
        </is>
      </c>
      <c r="U13" s="3" t="inlineStr">
        <is>
          <t>poly(ethylene oxide)</t>
        </is>
      </c>
      <c r="V13" s="4" t="n">
        <v>1</v>
      </c>
    </row>
    <row r="14">
      <c r="A14" s="5" t="inlineStr">
        <is>
          <t>test1</t>
        </is>
      </c>
      <c r="B14" s="5" t="inlineStr">
        <is>
          <t>table1</t>
        </is>
      </c>
      <c r="C14" s="5" t="inlineStr">
        <is>
          <t>PS</t>
        </is>
      </c>
      <c r="D14" s="5" t="inlineStr">
        <is>
          <t>Polystyrene</t>
        </is>
      </c>
      <c r="E14" s="5" t="inlineStr">
        <is>
          <t>C6D6</t>
        </is>
      </c>
      <c r="F14" s="5" t="inlineStr">
        <is>
          <t>Benzene</t>
        </is>
      </c>
      <c r="G14" s="6" t="n"/>
      <c r="H14" s="6" t="n">
        <v>-7.7185</v>
      </c>
      <c r="I14" s="5" t="inlineStr">
        <is>
          <t>log10</t>
        </is>
      </c>
      <c r="J14" s="6" t="n">
        <v>0.72682</v>
      </c>
      <c r="K14" s="5" t="inlineStr">
        <is>
          <t>none</t>
        </is>
      </c>
      <c r="L14" s="5" t="inlineStr">
        <is>
          <t>None</t>
        </is>
      </c>
      <c r="M14" s="5" t="inlineStr">
        <is>
          <t>None</t>
        </is>
      </c>
      <c r="N14" s="5" t="inlineStr">
        <is>
          <t>None</t>
        </is>
      </c>
      <c r="O14" s="5" t="inlineStr">
        <is>
          <t>None</t>
        </is>
      </c>
      <c r="P14" s="5" t="inlineStr">
        <is>
          <t>D out of range</t>
        </is>
      </c>
      <c r="Q14" s="7" t="n"/>
      <c r="R14" s="7" t="n"/>
      <c r="T14" s="3" t="inlineStr">
        <is>
          <t>dimethyl sulfoxide</t>
        </is>
      </c>
      <c r="U14" s="3" t="inlineStr">
        <is>
          <t>poly(methyl methacrylate)</t>
        </is>
      </c>
      <c r="V14" s="4" t="n">
        <v>1</v>
      </c>
    </row>
    <row r="15">
      <c r="A15" s="5" t="inlineStr">
        <is>
          <t>test1</t>
        </is>
      </c>
      <c r="B15" s="5" t="inlineStr">
        <is>
          <t>table1</t>
        </is>
      </c>
      <c r="C15" s="5" t="inlineStr">
        <is>
          <t>PS</t>
        </is>
      </c>
      <c r="D15" s="5" t="inlineStr">
        <is>
          <t>Polystyrene</t>
        </is>
      </c>
      <c r="E15" s="5" t="inlineStr">
        <is>
          <t>toluene-d8</t>
        </is>
      </c>
      <c r="F15" s="5" t="inlineStr">
        <is>
          <t>toluene</t>
        </is>
      </c>
      <c r="G15" s="6" t="n"/>
      <c r="H15" s="6" t="n">
        <v>-7.6701</v>
      </c>
      <c r="I15" s="5" t="inlineStr">
        <is>
          <t>log10</t>
        </is>
      </c>
      <c r="J15" s="6" t="n">
        <v>0.73512</v>
      </c>
      <c r="K15" s="5" t="inlineStr">
        <is>
          <t>none</t>
        </is>
      </c>
      <c r="L15" s="5" t="inlineStr">
        <is>
          <t>None</t>
        </is>
      </c>
      <c r="M15" s="5" t="inlineStr">
        <is>
          <t>None</t>
        </is>
      </c>
      <c r="N15" s="5" t="inlineStr">
        <is>
          <t>None</t>
        </is>
      </c>
      <c r="O15" s="5" t="inlineStr">
        <is>
          <t>None</t>
        </is>
      </c>
      <c r="P15" s="5" t="inlineStr">
        <is>
          <t>D out of range</t>
        </is>
      </c>
      <c r="Q15" s="7" t="n"/>
      <c r="R15" s="7" t="n"/>
      <c r="T15" s="3" t="inlineStr">
        <is>
          <t>toluene</t>
        </is>
      </c>
      <c r="U15" s="3" t="inlineStr">
        <is>
          <t>poly(methyl methacrylate)</t>
        </is>
      </c>
      <c r="V15" s="4" t="n">
        <v>2</v>
      </c>
    </row>
    <row r="16">
      <c r="A16" s="3" t="inlineStr">
        <is>
          <t>test1</t>
        </is>
      </c>
      <c r="B16" s="3" t="inlineStr">
        <is>
          <t>table1</t>
        </is>
      </c>
      <c r="C16" s="3" t="inlineStr">
        <is>
          <t>PS</t>
        </is>
      </c>
      <c r="D16" s="3" t="inlineStr">
        <is>
          <t>Polystyrene</t>
        </is>
      </c>
      <c r="E16" s="3" t="inlineStr">
        <is>
          <t>CD2Cl2</t>
        </is>
      </c>
      <c r="F16" s="3" t="inlineStr">
        <is>
          <t>chloroform-d</t>
        </is>
      </c>
      <c r="G16" s="4" t="n"/>
      <c r="H16" s="4" t="n">
        <v>-7.56169</v>
      </c>
      <c r="I16" s="3" t="inlineStr">
        <is>
          <t>log10</t>
        </is>
      </c>
      <c r="J16" s="4" t="n">
        <v>0.70628</v>
      </c>
      <c r="K16" s="3" t="inlineStr">
        <is>
          <t>none</t>
        </is>
      </c>
      <c r="L16" s="3" t="inlineStr">
        <is>
          <t>None</t>
        </is>
      </c>
      <c r="M16" s="3" t="inlineStr">
        <is>
          <t>None</t>
        </is>
      </c>
      <c r="N16" s="3" t="inlineStr">
        <is>
          <t>None</t>
        </is>
      </c>
      <c r="O16" s="3" t="inlineStr">
        <is>
          <t>None</t>
        </is>
      </c>
      <c r="P16" s="3" t="inlineStr">
        <is>
          <t>None</t>
        </is>
      </c>
      <c r="Q16" s="4">
        <f>H16-J16*3</f>
        <v/>
      </c>
      <c r="R16" s="4">
        <f>H16-J16*6</f>
        <v/>
      </c>
    </row>
    <row r="17">
      <c r="A17" s="3" t="inlineStr">
        <is>
          <t>test1</t>
        </is>
      </c>
      <c r="B17" s="3" t="inlineStr">
        <is>
          <t>table1</t>
        </is>
      </c>
      <c r="C17" s="3" t="inlineStr">
        <is>
          <t>PS</t>
        </is>
      </c>
      <c r="D17" s="3" t="inlineStr">
        <is>
          <t>Polystyrene</t>
        </is>
      </c>
      <c r="E17" s="3" t="inlineStr">
        <is>
          <t>acetone-d6</t>
        </is>
      </c>
      <c r="F17" s="3" t="inlineStr">
        <is>
          <t>Acetone-d6</t>
        </is>
      </c>
      <c r="G17" s="4" t="n"/>
      <c r="H17" s="4" t="n">
        <v>-7.67914</v>
      </c>
      <c r="I17" s="3" t="inlineStr">
        <is>
          <t>log10</t>
        </is>
      </c>
      <c r="J17" s="4" t="n">
        <v>0.49819</v>
      </c>
      <c r="K17" s="3" t="inlineStr">
        <is>
          <t>none</t>
        </is>
      </c>
      <c r="L17" s="3" t="inlineStr">
        <is>
          <t>None</t>
        </is>
      </c>
      <c r="M17" s="3" t="inlineStr">
        <is>
          <t>None</t>
        </is>
      </c>
      <c r="N17" s="3" t="inlineStr">
        <is>
          <t>None</t>
        </is>
      </c>
      <c r="O17" s="3" t="inlineStr">
        <is>
          <t>None</t>
        </is>
      </c>
      <c r="P17" s="3" t="inlineStr">
        <is>
          <t>None</t>
        </is>
      </c>
      <c r="Q17" s="4">
        <f>H17-J17*3</f>
        <v/>
      </c>
      <c r="R17" s="4">
        <f>H17-J17*6</f>
        <v/>
      </c>
    </row>
    <row r="18">
      <c r="A18" s="3" t="inlineStr">
        <is>
          <t>test1</t>
        </is>
      </c>
      <c r="B18" s="3" t="inlineStr">
        <is>
          <t>table1</t>
        </is>
      </c>
      <c r="C18" s="3" t="inlineStr">
        <is>
          <t>PEO</t>
        </is>
      </c>
      <c r="D18" s="3" t="inlineStr">
        <is>
          <t>poly(ethylene oxide)</t>
        </is>
      </c>
      <c r="E18" s="3" t="inlineStr">
        <is>
          <t>CD3OD</t>
        </is>
      </c>
      <c r="F18" s="3" t="inlineStr">
        <is>
          <t>Methanol-d4</t>
        </is>
      </c>
      <c r="G18" s="4" t="n"/>
      <c r="H18" s="4" t="n">
        <v>-7.84364</v>
      </c>
      <c r="I18" s="3" t="inlineStr">
        <is>
          <t>log10</t>
        </is>
      </c>
      <c r="J18" s="4" t="n">
        <v>0.65424</v>
      </c>
      <c r="K18" s="3" t="inlineStr">
        <is>
          <t>none</t>
        </is>
      </c>
      <c r="L18" s="3" t="inlineStr">
        <is>
          <t>None</t>
        </is>
      </c>
      <c r="M18" s="3" t="inlineStr">
        <is>
          <t>None</t>
        </is>
      </c>
      <c r="N18" s="3" t="inlineStr">
        <is>
          <t>None</t>
        </is>
      </c>
      <c r="O18" s="3" t="inlineStr">
        <is>
          <t>None</t>
        </is>
      </c>
      <c r="P18" s="3" t="inlineStr">
        <is>
          <t>None</t>
        </is>
      </c>
      <c r="Q18" s="4">
        <f>H18-J18*3</f>
        <v/>
      </c>
      <c r="R18" s="4">
        <f>H18-J18*6</f>
        <v/>
      </c>
    </row>
    <row r="19">
      <c r="A19" s="5" t="inlineStr">
        <is>
          <t>test1</t>
        </is>
      </c>
      <c r="B19" s="5" t="inlineStr">
        <is>
          <t>table1</t>
        </is>
      </c>
      <c r="C19" s="5" t="inlineStr">
        <is>
          <t>PEO</t>
        </is>
      </c>
      <c r="D19" s="5" t="inlineStr">
        <is>
          <t>poly(ethylene oxide)</t>
        </is>
      </c>
      <c r="E19" s="5" t="inlineStr">
        <is>
          <t>D2O</t>
        </is>
      </c>
      <c r="F19" s="5" t="inlineStr">
        <is>
          <t>Deuterium oxide</t>
        </is>
      </c>
      <c r="G19" s="6" t="n"/>
      <c r="H19" s="6" t="n">
        <v>-8.101190000000001</v>
      </c>
      <c r="I19" s="5" t="inlineStr">
        <is>
          <t>log10</t>
        </is>
      </c>
      <c r="J19" s="6" t="n">
        <v>0.67839</v>
      </c>
      <c r="K19" s="5" t="inlineStr">
        <is>
          <t>none</t>
        </is>
      </c>
      <c r="L19" s="5" t="inlineStr">
        <is>
          <t>None</t>
        </is>
      </c>
      <c r="M19" s="5" t="inlineStr">
        <is>
          <t>None</t>
        </is>
      </c>
      <c r="N19" s="5" t="inlineStr">
        <is>
          <t>None</t>
        </is>
      </c>
      <c r="O19" s="5" t="inlineStr">
        <is>
          <t>None</t>
        </is>
      </c>
      <c r="P19" s="5" t="inlineStr">
        <is>
          <t>D out of range</t>
        </is>
      </c>
      <c r="Q19" s="7" t="n"/>
      <c r="R19" s="7" t="n"/>
    </row>
    <row r="20">
      <c r="A20" s="3" t="inlineStr">
        <is>
          <t>test1</t>
        </is>
      </c>
      <c r="B20" s="3" t="inlineStr">
        <is>
          <t>table1</t>
        </is>
      </c>
      <c r="C20" s="3" t="inlineStr">
        <is>
          <t>PEO</t>
        </is>
      </c>
      <c r="D20" s="3" t="inlineStr">
        <is>
          <t>poly(ethylene oxide)</t>
        </is>
      </c>
      <c r="E20" s="3" t="inlineStr">
        <is>
          <t>THF-d8</t>
        </is>
      </c>
      <c r="F20" s="3" t="inlineStr">
        <is>
          <t>Tetrahydrofuran-d8</t>
        </is>
      </c>
      <c r="G20" s="4" t="n"/>
      <c r="H20" s="4" t="n">
        <v>-7.73384</v>
      </c>
      <c r="I20" s="3" t="inlineStr">
        <is>
          <t>log10</t>
        </is>
      </c>
      <c r="J20" s="4" t="n">
        <v>0.6831</v>
      </c>
      <c r="K20" s="3" t="inlineStr">
        <is>
          <t>none</t>
        </is>
      </c>
      <c r="L20" s="3" t="inlineStr">
        <is>
          <t>None</t>
        </is>
      </c>
      <c r="M20" s="3" t="inlineStr">
        <is>
          <t>None</t>
        </is>
      </c>
      <c r="N20" s="3" t="inlineStr">
        <is>
          <t>None</t>
        </is>
      </c>
      <c r="O20" s="3" t="inlineStr">
        <is>
          <t>None</t>
        </is>
      </c>
      <c r="P20" s="3" t="inlineStr">
        <is>
          <t>None</t>
        </is>
      </c>
      <c r="Q20" s="4">
        <f>H20-J20*3</f>
        <v/>
      </c>
      <c r="R20" s="4">
        <f>H20-J20*6</f>
        <v/>
      </c>
    </row>
    <row r="21">
      <c r="A21" s="3" t="inlineStr">
        <is>
          <t>test1</t>
        </is>
      </c>
      <c r="B21" s="3" t="inlineStr">
        <is>
          <t>table1</t>
        </is>
      </c>
      <c r="C21" s="3" t="inlineStr">
        <is>
          <t>PEO</t>
        </is>
      </c>
      <c r="D21" s="3" t="inlineStr">
        <is>
          <t>poly(ethylene oxide)</t>
        </is>
      </c>
      <c r="E21" s="3" t="inlineStr">
        <is>
          <t>CD3CN</t>
        </is>
      </c>
      <c r="F21" s="3" t="inlineStr">
        <is>
          <t>Acetonitrile-d3</t>
        </is>
      </c>
      <c r="G21" s="4" t="n"/>
      <c r="H21" s="4" t="n">
        <v>-7.59019</v>
      </c>
      <c r="I21" s="3" t="inlineStr">
        <is>
          <t>log10</t>
        </is>
      </c>
      <c r="J21" s="4" t="n">
        <v>0.68948</v>
      </c>
      <c r="K21" s="3" t="inlineStr">
        <is>
          <t>none</t>
        </is>
      </c>
      <c r="L21" s="3" t="inlineStr">
        <is>
          <t>None</t>
        </is>
      </c>
      <c r="M21" s="3" t="inlineStr">
        <is>
          <t>None</t>
        </is>
      </c>
      <c r="N21" s="3" t="inlineStr">
        <is>
          <t>None</t>
        </is>
      </c>
      <c r="O21" s="3" t="inlineStr">
        <is>
          <t>None</t>
        </is>
      </c>
      <c r="P21" s="3" t="inlineStr">
        <is>
          <t>None</t>
        </is>
      </c>
      <c r="Q21" s="4">
        <f>H21-J21*3</f>
        <v/>
      </c>
      <c r="R21" s="4">
        <f>H21-J21*6</f>
        <v/>
      </c>
    </row>
    <row r="22">
      <c r="A22" s="3" t="inlineStr">
        <is>
          <t>test1</t>
        </is>
      </c>
      <c r="B22" s="3" t="inlineStr">
        <is>
          <t>table1</t>
        </is>
      </c>
      <c r="C22" s="3" t="inlineStr">
        <is>
          <t>PEO</t>
        </is>
      </c>
      <c r="D22" s="3" t="inlineStr">
        <is>
          <t>poly(ethylene oxide)</t>
        </is>
      </c>
      <c r="E22" s="3" t="inlineStr">
        <is>
          <t>acetone-d6</t>
        </is>
      </c>
      <c r="F22" s="3" t="inlineStr">
        <is>
          <t>Acetone-d6</t>
        </is>
      </c>
      <c r="G22" s="4" t="n"/>
      <c r="H22" s="4" t="n">
        <v>-7.67349</v>
      </c>
      <c r="I22" s="3" t="inlineStr">
        <is>
          <t>log10</t>
        </is>
      </c>
      <c r="J22" s="4" t="n">
        <v>0.56535</v>
      </c>
      <c r="K22" s="3" t="inlineStr">
        <is>
          <t>none</t>
        </is>
      </c>
      <c r="L22" s="3" t="inlineStr">
        <is>
          <t>None</t>
        </is>
      </c>
      <c r="M22" s="3" t="inlineStr">
        <is>
          <t>None</t>
        </is>
      </c>
      <c r="N22" s="3" t="inlineStr">
        <is>
          <t>None</t>
        </is>
      </c>
      <c r="O22" s="3" t="inlineStr">
        <is>
          <t>None</t>
        </is>
      </c>
      <c r="P22" s="3" t="inlineStr">
        <is>
          <t>None</t>
        </is>
      </c>
      <c r="Q22" s="4">
        <f>H22-J22*3</f>
        <v/>
      </c>
      <c r="R22" s="4">
        <f>H22-J22*6</f>
        <v/>
      </c>
    </row>
    <row r="23">
      <c r="A23" s="3" t="inlineStr">
        <is>
          <t>test1</t>
        </is>
      </c>
      <c r="B23" s="3" t="inlineStr">
        <is>
          <t>table1</t>
        </is>
      </c>
      <c r="C23" s="3" t="inlineStr">
        <is>
          <t>PMMA</t>
        </is>
      </c>
      <c r="D23" s="3" t="inlineStr">
        <is>
          <t>poly(methyl methacrylate)</t>
        </is>
      </c>
      <c r="E23" s="3" t="inlineStr">
        <is>
          <t>THF-d8</t>
        </is>
      </c>
      <c r="F23" s="3" t="inlineStr">
        <is>
          <t>Tetrahydrofuran-d8</t>
        </is>
      </c>
      <c r="G23" s="4" t="n"/>
      <c r="H23" s="4" t="n">
        <v>-7.61469</v>
      </c>
      <c r="I23" s="3" t="inlineStr">
        <is>
          <t>log10</t>
        </is>
      </c>
      <c r="J23" s="4" t="n">
        <v>0.69474</v>
      </c>
      <c r="K23" s="3" t="inlineStr">
        <is>
          <t>none</t>
        </is>
      </c>
      <c r="L23" s="3" t="inlineStr">
        <is>
          <t>None</t>
        </is>
      </c>
      <c r="M23" s="3" t="inlineStr">
        <is>
          <t>None</t>
        </is>
      </c>
      <c r="N23" s="3" t="inlineStr">
        <is>
          <t>None</t>
        </is>
      </c>
      <c r="O23" s="3" t="inlineStr">
        <is>
          <t>None</t>
        </is>
      </c>
      <c r="P23" s="3" t="inlineStr">
        <is>
          <t>None</t>
        </is>
      </c>
      <c r="Q23" s="4">
        <f>H23-J23*3</f>
        <v/>
      </c>
      <c r="R23" s="4">
        <f>H23-J23*6</f>
        <v/>
      </c>
    </row>
    <row r="24">
      <c r="A24" s="5" t="inlineStr">
        <is>
          <t>test1</t>
        </is>
      </c>
      <c r="B24" s="5" t="inlineStr">
        <is>
          <t>table1</t>
        </is>
      </c>
      <c r="C24" s="5" t="inlineStr">
        <is>
          <t>PMMA</t>
        </is>
      </c>
      <c r="D24" s="5" t="inlineStr">
        <is>
          <t>poly(methyl methacrylate)</t>
        </is>
      </c>
      <c r="E24" s="5" t="inlineStr">
        <is>
          <t>CDCl3</t>
        </is>
      </c>
      <c r="F24" s="5" t="inlineStr">
        <is>
          <t>chloroform-d</t>
        </is>
      </c>
      <c r="G24" s="6" t="n"/>
      <c r="H24" s="6" t="n">
        <v>-7.57989</v>
      </c>
      <c r="I24" s="5" t="inlineStr">
        <is>
          <t>log10</t>
        </is>
      </c>
      <c r="J24" s="6" t="n">
        <v>0.77158</v>
      </c>
      <c r="K24" s="5" t="inlineStr">
        <is>
          <t>none</t>
        </is>
      </c>
      <c r="L24" s="5" t="inlineStr">
        <is>
          <t>None</t>
        </is>
      </c>
      <c r="M24" s="5" t="inlineStr">
        <is>
          <t>None</t>
        </is>
      </c>
      <c r="N24" s="5" t="inlineStr">
        <is>
          <t>None</t>
        </is>
      </c>
      <c r="O24" s="5" t="inlineStr">
        <is>
          <t>None</t>
        </is>
      </c>
      <c r="P24" s="5" t="inlineStr">
        <is>
          <t>D out of range</t>
        </is>
      </c>
      <c r="Q24" s="7" t="n"/>
      <c r="R24" s="7" t="n"/>
    </row>
    <row r="25">
      <c r="A25" s="5" t="inlineStr">
        <is>
          <t>test1</t>
        </is>
      </c>
      <c r="B25" s="5" t="inlineStr">
        <is>
          <t>table1</t>
        </is>
      </c>
      <c r="C25" s="5" t="inlineStr">
        <is>
          <t>PMMA</t>
        </is>
      </c>
      <c r="D25" s="5" t="inlineStr">
        <is>
          <t>poly(methyl methacrylate)</t>
        </is>
      </c>
      <c r="E25" s="5" t="inlineStr">
        <is>
          <t>C6D6</t>
        </is>
      </c>
      <c r="F25" s="5" t="inlineStr">
        <is>
          <t>Benzene</t>
        </is>
      </c>
      <c r="G25" s="6" t="n"/>
      <c r="H25" s="6" t="n">
        <v>-7.68399</v>
      </c>
      <c r="I25" s="5" t="inlineStr">
        <is>
          <t>log10</t>
        </is>
      </c>
      <c r="J25" s="6" t="n">
        <v>0.7331</v>
      </c>
      <c r="K25" s="5" t="inlineStr">
        <is>
          <t>none</t>
        </is>
      </c>
      <c r="L25" s="5" t="inlineStr">
        <is>
          <t>None</t>
        </is>
      </c>
      <c r="M25" s="5" t="inlineStr">
        <is>
          <t>None</t>
        </is>
      </c>
      <c r="N25" s="5" t="inlineStr">
        <is>
          <t>None</t>
        </is>
      </c>
      <c r="O25" s="5" t="inlineStr">
        <is>
          <t>None</t>
        </is>
      </c>
      <c r="P25" s="5" t="inlineStr">
        <is>
          <t>D out of range</t>
        </is>
      </c>
      <c r="Q25" s="7" t="n"/>
      <c r="R25" s="7" t="n"/>
    </row>
    <row r="26">
      <c r="A26" s="5" t="inlineStr">
        <is>
          <t>test1</t>
        </is>
      </c>
      <c r="B26" s="5" t="inlineStr">
        <is>
          <t>table1</t>
        </is>
      </c>
      <c r="C26" s="5" t="inlineStr">
        <is>
          <t>PMMA</t>
        </is>
      </c>
      <c r="D26" s="5" t="inlineStr">
        <is>
          <t>poly(methyl methacrylate)</t>
        </is>
      </c>
      <c r="E26" s="5" t="inlineStr">
        <is>
          <t>CD2Cl2</t>
        </is>
      </c>
      <c r="F26" s="5" t="inlineStr">
        <is>
          <t>chloroform-d</t>
        </is>
      </c>
      <c r="G26" s="6" t="n"/>
      <c r="H26" s="6" t="n">
        <v>-7.48969</v>
      </c>
      <c r="I26" s="5" t="inlineStr">
        <is>
          <t>log10</t>
        </is>
      </c>
      <c r="J26" s="6" t="n">
        <v>0.75226</v>
      </c>
      <c r="K26" s="5" t="inlineStr">
        <is>
          <t>none</t>
        </is>
      </c>
      <c r="L26" s="5" t="inlineStr">
        <is>
          <t>None</t>
        </is>
      </c>
      <c r="M26" s="5" t="inlineStr">
        <is>
          <t>None</t>
        </is>
      </c>
      <c r="N26" s="5" t="inlineStr">
        <is>
          <t>None</t>
        </is>
      </c>
      <c r="O26" s="5" t="inlineStr">
        <is>
          <t>None</t>
        </is>
      </c>
      <c r="P26" s="5" t="inlineStr">
        <is>
          <t>D out of range</t>
        </is>
      </c>
      <c r="Q26" s="7" t="n"/>
      <c r="R26" s="7" t="n"/>
    </row>
    <row r="27">
      <c r="A27" s="3" t="inlineStr">
        <is>
          <t>test1</t>
        </is>
      </c>
      <c r="B27" s="3" t="inlineStr">
        <is>
          <t>table1</t>
        </is>
      </c>
      <c r="C27" s="3" t="inlineStr">
        <is>
          <t>PMMA</t>
        </is>
      </c>
      <c r="D27" s="3" t="inlineStr">
        <is>
          <t>poly(methyl methacrylate)</t>
        </is>
      </c>
      <c r="E27" s="3" t="inlineStr">
        <is>
          <t>DMSO</t>
        </is>
      </c>
      <c r="F27" s="3" t="inlineStr">
        <is>
          <t>dimethyl sulfoxide</t>
        </is>
      </c>
      <c r="G27" s="4" t="n"/>
      <c r="H27" s="4" t="n">
        <v>-8.505789999999999</v>
      </c>
      <c r="I27" s="3" t="inlineStr">
        <is>
          <t>log10</t>
        </is>
      </c>
      <c r="J27" s="4" t="n">
        <v>0.47463</v>
      </c>
      <c r="K27" s="3" t="inlineStr">
        <is>
          <t>none</t>
        </is>
      </c>
      <c r="L27" s="3" t="inlineStr">
        <is>
          <t>None</t>
        </is>
      </c>
      <c r="M27" s="3" t="inlineStr">
        <is>
          <t>None</t>
        </is>
      </c>
      <c r="N27" s="3" t="inlineStr">
        <is>
          <t>None</t>
        </is>
      </c>
      <c r="O27" s="3" t="inlineStr">
        <is>
          <t>None</t>
        </is>
      </c>
      <c r="P27" s="3" t="inlineStr">
        <is>
          <t>None</t>
        </is>
      </c>
      <c r="Q27" s="4">
        <f>H27-J27*3</f>
        <v/>
      </c>
      <c r="R27" s="4">
        <f>H27-J27*6</f>
        <v/>
      </c>
    </row>
    <row r="28">
      <c r="A28" s="3" t="inlineStr">
        <is>
          <t>test5</t>
        </is>
      </c>
      <c r="B28" s="3" t="inlineStr">
        <is>
          <t>table1</t>
        </is>
      </c>
      <c r="C28" s="3" t="inlineStr">
        <is>
          <t>PS</t>
        </is>
      </c>
      <c r="D28" s="3" t="inlineStr">
        <is>
          <t>Polystyrene</t>
        </is>
      </c>
      <c r="E28" s="3" t="inlineStr">
        <is>
          <t>benzene</t>
        </is>
      </c>
      <c r="F28" s="3" t="inlineStr">
        <is>
          <t>Benzene</t>
        </is>
      </c>
      <c r="G28" s="4" t="n"/>
      <c r="H28" s="4" t="inlineStr">
        <is>
          <t>-7.70</t>
        </is>
      </c>
      <c r="I28" s="3" t="inlineStr">
        <is>
          <t>sign_correction</t>
        </is>
      </c>
      <c r="J28" s="4" t="inlineStr">
        <is>
          <t>0.54</t>
        </is>
      </c>
      <c r="K28" s="3" t="inlineStr">
        <is>
          <t>none</t>
        </is>
      </c>
      <c r="L28" s="3" t="inlineStr">
        <is>
          <t>None</t>
        </is>
      </c>
      <c r="M28" s="3" t="inlineStr">
        <is>
          <t>None</t>
        </is>
      </c>
      <c r="N28" s="3" t="inlineStr">
        <is>
          <t>None</t>
        </is>
      </c>
      <c r="O28" s="3" t="inlineStr">
        <is>
          <t>None</t>
        </is>
      </c>
      <c r="P28" s="3" t="inlineStr">
        <is>
          <t>None</t>
        </is>
      </c>
      <c r="Q28" s="4">
        <f>H28-J28*3</f>
        <v/>
      </c>
      <c r="R28" s="4">
        <f>H28-J28*6</f>
        <v/>
      </c>
    </row>
    <row r="29">
      <c r="A29" s="3" t="inlineStr">
        <is>
          <t>test5</t>
        </is>
      </c>
      <c r="B29" s="3" t="inlineStr">
        <is>
          <t>table3</t>
        </is>
      </c>
      <c r="C29" s="3" t="inlineStr">
        <is>
          <t>poly(ethylene glycol)</t>
        </is>
      </c>
      <c r="D29" s="3" t="inlineStr">
        <is>
          <t>poly(ethylene oxide)</t>
        </is>
      </c>
      <c r="E29" s="3" t="inlineStr">
        <is>
          <t>D2O</t>
        </is>
      </c>
      <c r="F29" s="3" t="inlineStr">
        <is>
          <t>Deuterium oxide</t>
        </is>
      </c>
      <c r="G29" s="4" t="n"/>
      <c r="H29" s="4" t="n">
        <v>-8.140000000000001</v>
      </c>
      <c r="I29" s="3" t="inlineStr">
        <is>
          <t>Omitted minus sign corrected for log-form constant column `lg(c)`</t>
        </is>
      </c>
      <c r="J29" s="4" t="n">
        <v>0.49</v>
      </c>
      <c r="K29" s="3" t="inlineStr">
        <is>
          <t>Direct extraction (already positive)</t>
        </is>
      </c>
      <c r="L29" s="3" t="inlineStr">
        <is>
          <t>None</t>
        </is>
      </c>
      <c r="M29" s="3" t="inlineStr">
        <is>
          <t>None</t>
        </is>
      </c>
      <c r="N29" s="3" t="inlineStr">
        <is>
          <t>None</t>
        </is>
      </c>
      <c r="O29" s="3" t="inlineStr">
        <is>
          <t>None</t>
        </is>
      </c>
      <c r="P29" s="3" t="inlineStr">
        <is>
          <t>None</t>
        </is>
      </c>
      <c r="Q29" s="4">
        <f>H29-J29*3</f>
        <v/>
      </c>
      <c r="R29" s="4">
        <f>H29-J29*6</f>
        <v/>
      </c>
    </row>
    <row r="30">
      <c r="A30" s="3" t="inlineStr">
        <is>
          <t>test5</t>
        </is>
      </c>
      <c r="B30" s="3" t="inlineStr">
        <is>
          <t>table3</t>
        </is>
      </c>
      <c r="C30" s="3" t="inlineStr">
        <is>
          <t>poly(ethylene glycol)</t>
        </is>
      </c>
      <c r="D30" s="3" t="inlineStr">
        <is>
          <t>poly(ethylene oxide)</t>
        </is>
      </c>
      <c r="E30" s="3" t="inlineStr">
        <is>
          <t>methanol-d4</t>
        </is>
      </c>
      <c r="F30" s="3" t="inlineStr">
        <is>
          <t>Methanol-d4</t>
        </is>
      </c>
      <c r="G30" s="4" t="n"/>
      <c r="H30" s="4" t="n">
        <v>-8.32</v>
      </c>
      <c r="I30" s="3" t="inlineStr">
        <is>
          <t>Omitted minus sign corrected for log-form constant column `lg(c)`</t>
        </is>
      </c>
      <c r="J30" s="4" t="n">
        <v>0.45</v>
      </c>
      <c r="K30" s="3" t="inlineStr">
        <is>
          <t>Direct extraction (already positive)</t>
        </is>
      </c>
      <c r="L30" s="3" t="inlineStr">
        <is>
          <t>None</t>
        </is>
      </c>
      <c r="M30" s="3" t="inlineStr">
        <is>
          <t>None</t>
        </is>
      </c>
      <c r="N30" s="3" t="inlineStr">
        <is>
          <t>None</t>
        </is>
      </c>
      <c r="O30" s="3" t="inlineStr">
        <is>
          <t>None</t>
        </is>
      </c>
      <c r="P30" s="3" t="inlineStr">
        <is>
          <t>None</t>
        </is>
      </c>
      <c r="Q30" s="4">
        <f>H30-J30*3</f>
        <v/>
      </c>
      <c r="R30" s="4">
        <f>H30-J30*6</f>
        <v/>
      </c>
    </row>
    <row r="31">
      <c r="A31" s="3" t="inlineStr">
        <is>
          <t>test5</t>
        </is>
      </c>
      <c r="B31" s="3" t="inlineStr">
        <is>
          <t>table3</t>
        </is>
      </c>
      <c r="C31" s="3" t="inlineStr">
        <is>
          <t>poly(ethylene glycol)</t>
        </is>
      </c>
      <c r="D31" s="3" t="inlineStr">
        <is>
          <t>poly(ethylene oxide)</t>
        </is>
      </c>
      <c r="E31" s="3" t="inlineStr">
        <is>
          <t>acetone-d6</t>
        </is>
      </c>
      <c r="F31" s="3" t="inlineStr">
        <is>
          <t>Acetone-d6</t>
        </is>
      </c>
      <c r="G31" s="4" t="n"/>
      <c r="H31" s="4" t="n">
        <v>-8.460000000000001</v>
      </c>
      <c r="I31" s="3" t="inlineStr">
        <is>
          <t>Omitted minus sign corrected for log-form constant column `lg(c)`</t>
        </is>
      </c>
      <c r="J31" s="4" t="n">
        <v>0.41</v>
      </c>
      <c r="K31" s="3" t="inlineStr">
        <is>
          <t>Direct extraction (already positive)</t>
        </is>
      </c>
      <c r="L31" s="3" t="inlineStr">
        <is>
          <t>None</t>
        </is>
      </c>
      <c r="M31" s="3" t="inlineStr">
        <is>
          <t>None</t>
        </is>
      </c>
      <c r="N31" s="3" t="inlineStr">
        <is>
          <t>None</t>
        </is>
      </c>
      <c r="O31" s="3" t="inlineStr">
        <is>
          <t>None</t>
        </is>
      </c>
      <c r="P31" s="3" t="inlineStr">
        <is>
          <t>None</t>
        </is>
      </c>
      <c r="Q31" s="4">
        <f>H31-J31*3</f>
        <v/>
      </c>
      <c r="R31" s="4">
        <f>H31-J31*6</f>
        <v/>
      </c>
    </row>
    <row r="32">
      <c r="A32" s="3" t="inlineStr">
        <is>
          <t>test5</t>
        </is>
      </c>
      <c r="B32" s="3" t="inlineStr">
        <is>
          <t>table3</t>
        </is>
      </c>
      <c r="C32" s="3" t="inlineStr">
        <is>
          <t>poly(ethylene glycol)</t>
        </is>
      </c>
      <c r="D32" s="3" t="inlineStr">
        <is>
          <t>poly(ethylene oxide)</t>
        </is>
      </c>
      <c r="E32" s="3" t="inlineStr">
        <is>
          <t>THF-d8</t>
        </is>
      </c>
      <c r="F32" s="3" t="inlineStr">
        <is>
          <t>Tetrahydrofuran-d8</t>
        </is>
      </c>
      <c r="G32" s="4" t="n"/>
      <c r="H32" s="4" t="n">
        <v>-8.26</v>
      </c>
      <c r="I32" s="3" t="inlineStr">
        <is>
          <t>Omitted minus sign corrected for log-form constant column `lg(c)`</t>
        </is>
      </c>
      <c r="J32" s="4" t="n">
        <v>0.46</v>
      </c>
      <c r="K32" s="3" t="inlineStr">
        <is>
          <t>Direct extraction (already positive)</t>
        </is>
      </c>
      <c r="L32" s="3" t="inlineStr">
        <is>
          <t>None</t>
        </is>
      </c>
      <c r="M32" s="3" t="inlineStr">
        <is>
          <t>None</t>
        </is>
      </c>
      <c r="N32" s="3" t="inlineStr">
        <is>
          <t>None</t>
        </is>
      </c>
      <c r="O32" s="3" t="inlineStr">
        <is>
          <t>None</t>
        </is>
      </c>
      <c r="P32" s="3" t="inlineStr">
        <is>
          <t>None</t>
        </is>
      </c>
      <c r="Q32" s="4">
        <f>H32-J32*3</f>
        <v/>
      </c>
      <c r="R32" s="4">
        <f>H32-J32*6</f>
        <v/>
      </c>
    </row>
    <row r="33">
      <c r="A33" s="3" t="inlineStr">
        <is>
          <t>test5</t>
        </is>
      </c>
      <c r="B33" s="3" t="inlineStr">
        <is>
          <t>table3</t>
        </is>
      </c>
      <c r="C33" s="3" t="inlineStr">
        <is>
          <t>poly(ethylene glycol)</t>
        </is>
      </c>
      <c r="D33" s="3" t="inlineStr">
        <is>
          <t>poly(ethylene oxide)</t>
        </is>
      </c>
      <c r="E33" s="3" t="inlineStr">
        <is>
          <t>CDCl3</t>
        </is>
      </c>
      <c r="F33" s="3" t="inlineStr">
        <is>
          <t>chloroform-d</t>
        </is>
      </c>
      <c r="G33" s="4" t="n"/>
      <c r="H33" s="4" t="n">
        <v>-8.08</v>
      </c>
      <c r="I33" s="3" t="inlineStr">
        <is>
          <t>Omitted minus sign corrected for log-form constant column `lg(c)`</t>
        </is>
      </c>
      <c r="J33" s="4" t="n">
        <v>0.45</v>
      </c>
      <c r="K33" s="3" t="inlineStr">
        <is>
          <t>Direct extraction (already positive)</t>
        </is>
      </c>
      <c r="L33" s="3" t="inlineStr">
        <is>
          <t>None</t>
        </is>
      </c>
      <c r="M33" s="3" t="inlineStr">
        <is>
          <t>None</t>
        </is>
      </c>
      <c r="N33" s="3" t="inlineStr">
        <is>
          <t>None</t>
        </is>
      </c>
      <c r="O33" s="3" t="inlineStr">
        <is>
          <t>None</t>
        </is>
      </c>
      <c r="P33" s="3" t="inlineStr">
        <is>
          <t>None</t>
        </is>
      </c>
      <c r="Q33" s="4">
        <f>H33-J33*3</f>
        <v/>
      </c>
      <c r="R33" s="4">
        <f>H33-J33*6</f>
        <v/>
      </c>
    </row>
    <row r="34">
      <c r="A34" s="3" t="inlineStr">
        <is>
          <t>test5</t>
        </is>
      </c>
      <c r="B34" s="3" t="inlineStr">
        <is>
          <t>table3</t>
        </is>
      </c>
      <c r="C34" s="3" t="inlineStr">
        <is>
          <t>poly(ethylene glycol)</t>
        </is>
      </c>
      <c r="D34" s="3" t="inlineStr">
        <is>
          <t>poly(ethylene oxide)</t>
        </is>
      </c>
      <c r="E34" s="3" t="inlineStr">
        <is>
          <t>ACN-d3</t>
        </is>
      </c>
      <c r="F34" s="3" t="inlineStr">
        <is>
          <t>Acetonitrile-d3</t>
        </is>
      </c>
      <c r="G34" s="4" t="n"/>
      <c r="H34" s="4" t="n">
        <v>-8.34</v>
      </c>
      <c r="I34" s="3" t="inlineStr">
        <is>
          <t>Omitted minus sign corrected for log-form constant column `lg(c)`</t>
        </is>
      </c>
      <c r="J34" s="4" t="n">
        <v>0.44</v>
      </c>
      <c r="K34" s="3" t="inlineStr">
        <is>
          <t>Direct extraction (already positive)</t>
        </is>
      </c>
      <c r="L34" s="3" t="inlineStr">
        <is>
          <t>None</t>
        </is>
      </c>
      <c r="M34" s="3" t="inlineStr">
        <is>
          <t>None</t>
        </is>
      </c>
      <c r="N34" s="3" t="inlineStr">
        <is>
          <t>None</t>
        </is>
      </c>
      <c r="O34" s="3" t="inlineStr">
        <is>
          <t>None</t>
        </is>
      </c>
      <c r="P34" s="3" t="inlineStr">
        <is>
          <t>None</t>
        </is>
      </c>
      <c r="Q34" s="4">
        <f>H34-J34*3</f>
        <v/>
      </c>
      <c r="R34" s="4">
        <f>H34-J34*6</f>
        <v/>
      </c>
    </row>
    <row r="35">
      <c r="A35" s="3" t="inlineStr">
        <is>
          <t>test7</t>
        </is>
      </c>
      <c r="B35" s="3" t="inlineStr">
        <is>
          <t>table1</t>
        </is>
      </c>
      <c r="C35" s="3" t="inlineStr">
        <is>
          <t>pMMA</t>
        </is>
      </c>
      <c r="D35" s="3" t="inlineStr">
        <is>
          <t>poly(methyl methacrylate)</t>
        </is>
      </c>
      <c r="E35" s="3" t="inlineStr">
        <is>
          <t>Toluene</t>
        </is>
      </c>
      <c r="F35" s="3" t="inlineStr">
        <is>
          <t>toluene</t>
        </is>
      </c>
      <c r="G35" s="4" t="n"/>
      <c r="H35" s="4" t="n">
        <v>-8.109999999999999</v>
      </c>
      <c r="I35" s="3" t="inlineStr">
        <is>
          <t>None</t>
        </is>
      </c>
      <c r="J35" s="4" t="n">
        <v>0.43</v>
      </c>
      <c r="K35" s="3" t="inlineStr">
        <is>
          <t>None</t>
        </is>
      </c>
      <c r="L35" s="3" t="inlineStr">
        <is>
          <t>None</t>
        </is>
      </c>
      <c r="M35" s="3" t="inlineStr">
        <is>
          <t>None</t>
        </is>
      </c>
      <c r="N35" s="3" t="inlineStr">
        <is>
          <t>None</t>
        </is>
      </c>
      <c r="O35" s="3" t="inlineStr">
        <is>
          <t>None</t>
        </is>
      </c>
      <c r="P35" s="3" t="inlineStr">
        <is>
          <t>None</t>
        </is>
      </c>
      <c r="Q35" s="4">
        <f>H35-J35*3</f>
        <v/>
      </c>
      <c r="R35" s="4">
        <f>H35-J35*6</f>
        <v/>
      </c>
    </row>
    <row r="36">
      <c r="A36" s="3" t="inlineStr">
        <is>
          <t>test7</t>
        </is>
      </c>
      <c r="B36" s="3" t="inlineStr">
        <is>
          <t>table3</t>
        </is>
      </c>
      <c r="C36" s="3" t="inlineStr">
        <is>
          <t>pBA</t>
        </is>
      </c>
      <c r="D36" s="3" t="inlineStr">
        <is>
          <t>poly(butyl acrylate)</t>
        </is>
      </c>
      <c r="E36" s="3" t="inlineStr">
        <is>
          <t>Benzene</t>
        </is>
      </c>
      <c r="F36" s="3" t="inlineStr">
        <is>
          <t>Benzene</t>
        </is>
      </c>
      <c r="G36" s="4" t="n"/>
      <c r="H36" s="4" t="n">
        <v>-7.83</v>
      </c>
      <c r="I36" s="3" t="inlineStr">
        <is>
          <t>log_form_preserved</t>
        </is>
      </c>
      <c r="J36" s="4" t="n">
        <v>0.51</v>
      </c>
      <c r="K36" s="3" t="inlineStr">
        <is>
          <t>none</t>
        </is>
      </c>
      <c r="L36" s="3" t="inlineStr">
        <is>
          <t>None</t>
        </is>
      </c>
      <c r="M36" s="3" t="inlineStr">
        <is>
          <t>None</t>
        </is>
      </c>
      <c r="N36" s="3" t="inlineStr">
        <is>
          <t>None</t>
        </is>
      </c>
      <c r="O36" s="3" t="inlineStr">
        <is>
          <t>None</t>
        </is>
      </c>
      <c r="P36" s="3" t="inlineStr">
        <is>
          <t>None</t>
        </is>
      </c>
      <c r="Q36" s="4">
        <f>H36-J36*3</f>
        <v/>
      </c>
      <c r="R36" s="4">
        <f>H36-J36*6</f>
        <v/>
      </c>
    </row>
    <row r="37">
      <c r="A37" s="5" t="inlineStr">
        <is>
          <t>test7</t>
        </is>
      </c>
      <c r="B37" s="5" t="inlineStr">
        <is>
          <t>table6</t>
        </is>
      </c>
      <c r="C37" s="5" t="inlineStr">
        <is>
          <t>pPEGMEA</t>
        </is>
      </c>
      <c r="D37" s="5" t="inlineStr">
        <is>
          <t>pPEGMEA</t>
        </is>
      </c>
      <c r="E37" s="5" t="inlineStr">
        <is>
          <t>Water</t>
        </is>
      </c>
      <c r="F37" s="5" t="inlineStr">
        <is>
          <t>Water</t>
        </is>
      </c>
      <c r="G37" s="6" t="n"/>
      <c r="H37" s="6" t="n">
        <v>-8.31</v>
      </c>
      <c r="I37" s="5" t="inlineStr">
        <is>
          <t>none</t>
        </is>
      </c>
      <c r="J37" s="6" t="n">
        <v>0.47</v>
      </c>
      <c r="K37" s="5" t="inlineStr">
        <is>
          <t>none</t>
        </is>
      </c>
      <c r="L37" s="5" t="inlineStr">
        <is>
          <t>Invalid chemical</t>
        </is>
      </c>
      <c r="M37" s="5" t="inlineStr">
        <is>
          <t>None</t>
        </is>
      </c>
      <c r="N37" s="5" t="inlineStr">
        <is>
          <t>None</t>
        </is>
      </c>
      <c r="O37" s="5" t="inlineStr">
        <is>
          <t>None</t>
        </is>
      </c>
      <c r="P37" s="5" t="inlineStr">
        <is>
          <t>None</t>
        </is>
      </c>
      <c r="Q37" s="7" t="n"/>
      <c r="R37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8" customWidth="1" min="4" max="4"/>
    <col width="21" customWidth="1" min="5" max="5"/>
    <col width="18" customWidth="1" min="6" max="6"/>
    <col width="18" customWidth="1" min="7" max="7"/>
    <col width="17" customWidth="1" min="8" max="8"/>
    <col width="19" customWidth="1" min="9" max="9"/>
    <col width="12" customWidth="1" min="10" max="10"/>
    <col width="19" customWidth="1" min="11" max="11"/>
    <col width="16" customWidth="1" min="12" max="12"/>
    <col width="16" customWidth="1" min="13" max="13"/>
    <col width="20" customWidth="1" min="14" max="14"/>
    <col width="16" customWidth="1" min="15" max="15"/>
    <col width="16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2" t="inlineStr">
        <is>
          <t>Source Paper</t>
        </is>
      </c>
      <c r="B1" s="2" t="inlineStr">
        <is>
          <t>Table</t>
        </is>
      </c>
      <c r="C1" s="2" t="inlineStr">
        <is>
          <t>Polymer (Original)</t>
        </is>
      </c>
      <c r="D1" s="2" t="inlineStr">
        <is>
          <t>Polymer (Clean)</t>
        </is>
      </c>
      <c r="E1" s="2" t="inlineStr">
        <is>
          <t>Solvent (Original)</t>
        </is>
      </c>
      <c r="F1" s="2" t="inlineStr">
        <is>
          <t>Solvent (Clean)</t>
        </is>
      </c>
      <c r="G1" s="2" t="inlineStr">
        <is>
          <t>Temperature (K)</t>
        </is>
      </c>
      <c r="H1" s="2" t="inlineStr">
        <is>
          <t>K Value (mL/g)</t>
        </is>
      </c>
      <c r="I1" s="2" t="inlineStr">
        <is>
          <t>K Transformation</t>
        </is>
      </c>
      <c r="J1" s="2" t="inlineStr">
        <is>
          <t>a Value</t>
        </is>
      </c>
      <c r="K1" s="2" t="inlineStr">
        <is>
          <t>a Transformation</t>
        </is>
      </c>
      <c r="L1" s="2" t="inlineStr">
        <is>
          <t>Polymer Error</t>
        </is>
      </c>
      <c r="M1" s="2" t="inlineStr">
        <is>
          <t>Solvent Error</t>
        </is>
      </c>
      <c r="N1" s="2" t="inlineStr">
        <is>
          <t>Temperature Error</t>
        </is>
      </c>
      <c r="O1" s="2" t="inlineStr">
        <is>
          <t>K_value Error</t>
        </is>
      </c>
      <c r="P1" s="2" t="inlineStr">
        <is>
          <t>General Error</t>
        </is>
      </c>
      <c r="Q1" s="2" t="n">
        <v>3</v>
      </c>
      <c r="R1" s="2" t="n">
        <v>6</v>
      </c>
      <c r="T1" s="2" t="inlineStr">
        <is>
          <t>Solvent</t>
        </is>
      </c>
      <c r="U1" s="2" t="inlineStr">
        <is>
          <t>Polymer</t>
        </is>
      </c>
      <c r="V1" s="2" t="inlineStr">
        <is>
          <t>Count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1" customWidth="1" min="1" max="1"/>
    <col width="12" customWidth="1" min="2" max="2"/>
    <col width="15" customWidth="1" min="3" max="3"/>
    <col width="42" customWidth="1" min="4" max="4"/>
    <col width="19" customWidth="1" min="5" max="5"/>
  </cols>
  <sheetData>
    <row r="1">
      <c r="A1" s="2" t="inlineStr">
        <is>
          <t>Source Paper</t>
        </is>
      </c>
      <c r="B1" s="2" t="inlineStr">
        <is>
          <t>Table</t>
        </is>
      </c>
      <c r="C1" s="2" t="inlineStr">
        <is>
          <t>Field Name</t>
        </is>
      </c>
      <c r="D1" s="2" t="inlineStr">
        <is>
          <t>Raw Value</t>
        </is>
      </c>
      <c r="E1" s="2" t="inlineStr">
        <is>
          <t>Failure Reason</t>
        </is>
      </c>
    </row>
    <row r="2">
      <c r="A2" s="5" t="inlineStr">
        <is>
          <t>2009 - NMR Measure of Translational Diffusion and Fractal Dimension. Application to Molecular Mass Measurement</t>
        </is>
      </c>
      <c r="B2" s="5" t="inlineStr">
        <is>
          <t>table1</t>
        </is>
      </c>
      <c r="C2" s="5" t="inlineStr">
        <is>
          <t>polymer_name</t>
        </is>
      </c>
      <c r="D2" s="5" t="inlineStr">
        <is>
          <t>Various Geometries (Theoretical Limits)</t>
        </is>
      </c>
      <c r="E2" s="5" t="inlineStr">
        <is>
          <t>Invalid chemical</t>
        </is>
      </c>
    </row>
    <row r="3">
      <c r="A3" s="5" t="inlineStr">
        <is>
          <t>2009 - NMR Measure of Translational Diffusion and Fractal Dimension. Application to Molecular Mass Measurement</t>
        </is>
      </c>
      <c r="B3" s="5" t="inlineStr">
        <is>
          <t>table1</t>
        </is>
      </c>
      <c r="C3" s="5" t="inlineStr">
        <is>
          <t>solvent</t>
        </is>
      </c>
      <c r="D3" s="5" t="inlineStr">
        <is>
          <t>N/A</t>
        </is>
      </c>
      <c r="E3" s="5" t="inlineStr">
        <is>
          <t>Not found</t>
        </is>
      </c>
    </row>
    <row r="4">
      <c r="A4" s="5" t="inlineStr">
        <is>
          <t>2009 - NMR Measure of Translational Diffusion and Fractal Dimension. Application to Molecular Mass Measurement</t>
        </is>
      </c>
      <c r="B4" s="5" t="inlineStr">
        <is>
          <t>table1</t>
        </is>
      </c>
      <c r="C4" s="5" t="inlineStr">
        <is>
          <t>v_value</t>
        </is>
      </c>
      <c r="D4" s="5" t="inlineStr">
        <is>
          <t>Not found</t>
        </is>
      </c>
      <c r="E4" s="5" t="inlineStr">
        <is>
          <t>Not found</t>
        </is>
      </c>
    </row>
    <row r="5">
      <c r="A5" s="5" t="inlineStr">
        <is>
          <t>2009 - NMR Measure of Translational Diffusion and Fractal Dimension. Application to Molecular Mass Measurement</t>
        </is>
      </c>
      <c r="B5" s="5" t="inlineStr">
        <is>
          <t>table1</t>
        </is>
      </c>
      <c r="C5" s="5" t="inlineStr">
        <is>
          <t>c_value</t>
        </is>
      </c>
      <c r="D5" s="5" t="inlineStr">
        <is>
          <t>Not found</t>
        </is>
      </c>
      <c r="E5" s="5" t="inlineStr">
        <is>
          <t>Not found</t>
        </is>
      </c>
    </row>
    <row r="6">
      <c r="A6" s="5" t="inlineStr">
        <is>
          <t>2009 - NMR Measure of Translational Diffusion and Fractal Dimension. Application to Molecular Mass Measurement</t>
        </is>
      </c>
      <c r="B6" s="5" t="inlineStr">
        <is>
          <t>table2</t>
        </is>
      </c>
      <c r="C6" s="5" t="inlineStr">
        <is>
          <t>polymer_name</t>
        </is>
      </c>
      <c r="D6" s="5" t="inlineStr">
        <is>
          <t>globular proteins</t>
        </is>
      </c>
      <c r="E6" s="5" t="inlineStr">
        <is>
          <t>Invalid chemical</t>
        </is>
      </c>
    </row>
    <row r="7">
      <c r="A7" s="5" t="inlineStr">
        <is>
          <t>2009 - NMR Measure of Translational Diffusion and Fractal Dimension. Application to Molecular Mass Measurement</t>
        </is>
      </c>
      <c r="B7" s="5" t="inlineStr">
        <is>
          <t>table2</t>
        </is>
      </c>
      <c r="C7" s="5" t="inlineStr">
        <is>
          <t>solvent</t>
        </is>
      </c>
      <c r="D7" s="5" t="inlineStr">
        <is>
          <t>N/A</t>
        </is>
      </c>
      <c r="E7" s="5" t="inlineStr">
        <is>
          <t>Not found</t>
        </is>
      </c>
    </row>
    <row r="8">
      <c r="A8" s="5" t="inlineStr">
        <is>
          <t>2009 - NMR Measure of Translational Diffusion and Fractal Dimension. Application to Molecular Mass Measurement</t>
        </is>
      </c>
      <c r="B8" s="5" t="inlineStr">
        <is>
          <t>table2</t>
        </is>
      </c>
      <c r="C8" s="5" t="inlineStr">
        <is>
          <t>c_value</t>
        </is>
      </c>
      <c r="D8" s="5" t="inlineStr">
        <is>
          <t>Not found</t>
        </is>
      </c>
      <c r="E8" s="5" t="inlineStr">
        <is>
          <t>Not found</t>
        </is>
      </c>
    </row>
    <row r="9">
      <c r="A9" s="5" t="inlineStr">
        <is>
          <t>2015 - Determination of the parameters of molecular-weight distribution of hydroxyethyl starches by diffusion-ordered NMR spectroscopy</t>
        </is>
      </c>
      <c r="B9" s="5" t="inlineStr">
        <is>
          <t>table3</t>
        </is>
      </c>
      <c r="C9" s="5" t="inlineStr">
        <is>
          <t>solvent</t>
        </is>
      </c>
      <c r="D9" s="5" t="inlineStr">
        <is>
          <t>unknown</t>
        </is>
      </c>
      <c r="E9" s="5" t="inlineStr">
        <is>
          <t>Invalid chemical</t>
        </is>
      </c>
    </row>
    <row r="10">
      <c r="A10" s="5" t="inlineStr">
        <is>
          <t>2016 - 1 H DOSY NMR Determination of the Molecular Weight and the Solution Properties of Poly-( N -acryloylmorpholine) in Various Solvents</t>
        </is>
      </c>
      <c r="B10" s="5" t="inlineStr">
        <is>
          <t>table2</t>
        </is>
      </c>
      <c r="C10" s="5" t="inlineStr">
        <is>
          <t>c_value</t>
        </is>
      </c>
      <c r="D10" s="5" t="inlineStr">
        <is>
          <t>Not found</t>
        </is>
      </c>
      <c r="E10" s="5" t="inlineStr">
        <is>
          <t>Not found</t>
        </is>
      </c>
    </row>
    <row r="11">
      <c r="A11" s="5" t="inlineStr">
        <is>
          <t>2019 - Quantitative Studies of Block Copolymers and Their Containing Homopolymer Components by Diffusion Ordered Spectroscopy</t>
        </is>
      </c>
      <c r="B11" s="5" t="inlineStr">
        <is>
          <t>table1</t>
        </is>
      </c>
      <c r="C11" s="5" t="inlineStr">
        <is>
          <t>solvent</t>
        </is>
      </c>
      <c r="D11" s="5" t="inlineStr">
        <is>
          <t>Unknown</t>
        </is>
      </c>
      <c r="E11" s="5" t="inlineStr">
        <is>
          <t>Invalid chemical</t>
        </is>
      </c>
    </row>
    <row r="12">
      <c r="A12" s="5" t="inlineStr">
        <is>
          <t>2023 - A fast and efficient way of obtaining the average molecular weight of block copolymers via DOSY</t>
        </is>
      </c>
      <c r="B12" s="5" t="inlineStr">
        <is>
          <t>table6</t>
        </is>
      </c>
      <c r="C12" s="5" t="inlineStr">
        <is>
          <t>polymer_name</t>
        </is>
      </c>
      <c r="D12" s="5" t="inlineStr">
        <is>
          <t>pPEGMEA</t>
        </is>
      </c>
      <c r="E12" s="5" t="inlineStr">
        <is>
          <t>Invalid chemical</t>
        </is>
      </c>
    </row>
    <row r="13">
      <c r="A13" s="5" t="inlineStr">
        <is>
          <t>old</t>
        </is>
      </c>
      <c r="B13" s="5" t="inlineStr">
        <is>
          <t>table5</t>
        </is>
      </c>
      <c r="C13" s="5" t="inlineStr">
        <is>
          <t>general_err</t>
        </is>
      </c>
      <c r="D13" s="5" t="inlineStr">
        <is>
          <t>D=-3.49</t>
        </is>
      </c>
      <c r="E13" s="5" t="inlineStr">
        <is>
          <t>D out of range</t>
        </is>
      </c>
    </row>
    <row r="14">
      <c r="A14" s="5" t="inlineStr">
        <is>
          <t>old</t>
        </is>
      </c>
      <c r="B14" s="5" t="inlineStr">
        <is>
          <t>table10</t>
        </is>
      </c>
      <c r="C14" s="5" t="inlineStr">
        <is>
          <t>general_err</t>
        </is>
      </c>
      <c r="D14" s="5" t="inlineStr">
        <is>
          <t>D=-3.15</t>
        </is>
      </c>
      <c r="E14" s="5" t="inlineStr">
        <is>
          <t>D out of range</t>
        </is>
      </c>
    </row>
    <row r="15">
      <c r="A15" s="5" t="inlineStr">
        <is>
          <t>test1</t>
        </is>
      </c>
      <c r="B15" s="5" t="inlineStr">
        <is>
          <t>table1</t>
        </is>
      </c>
      <c r="C15" s="5" t="inlineStr">
        <is>
          <t>general_err</t>
        </is>
      </c>
      <c r="D15" s="5" t="inlineStr">
        <is>
          <t>D=-12.11</t>
        </is>
      </c>
      <c r="E15" s="5" t="inlineStr">
        <is>
          <t>D out of range</t>
        </is>
      </c>
    </row>
    <row r="16">
      <c r="A16" s="5" t="inlineStr">
        <is>
          <t>test1</t>
        </is>
      </c>
      <c r="B16" s="5" t="inlineStr">
        <is>
          <t>table1</t>
        </is>
      </c>
      <c r="C16" s="5" t="inlineStr">
        <is>
          <t>general_err</t>
        </is>
      </c>
      <c r="D16" s="5" t="inlineStr">
        <is>
          <t>D=-12.08</t>
        </is>
      </c>
      <c r="E16" s="5" t="inlineStr">
        <is>
          <t>D out of range</t>
        </is>
      </c>
    </row>
    <row r="17">
      <c r="A17" s="5" t="inlineStr">
        <is>
          <t>test1</t>
        </is>
      </c>
      <c r="B17" s="5" t="inlineStr">
        <is>
          <t>table1</t>
        </is>
      </c>
      <c r="C17" s="5" t="inlineStr">
        <is>
          <t>general_err</t>
        </is>
      </c>
      <c r="D17" s="5" t="inlineStr">
        <is>
          <t>D=-12.08</t>
        </is>
      </c>
      <c r="E17" s="5" t="inlineStr">
        <is>
          <t>D out of range</t>
        </is>
      </c>
    </row>
    <row r="18">
      <c r="A18" s="5" t="inlineStr">
        <is>
          <t>test1</t>
        </is>
      </c>
      <c r="B18" s="5" t="inlineStr">
        <is>
          <t>table1</t>
        </is>
      </c>
      <c r="C18" s="5" t="inlineStr">
        <is>
          <t>general_err</t>
        </is>
      </c>
      <c r="D18" s="5" t="inlineStr">
        <is>
          <t>D=-12.17</t>
        </is>
      </c>
      <c r="E18" s="5" t="inlineStr">
        <is>
          <t>D out of range</t>
        </is>
      </c>
    </row>
    <row r="19">
      <c r="A19" s="5" t="inlineStr">
        <is>
          <t>test1</t>
        </is>
      </c>
      <c r="B19" s="5" t="inlineStr">
        <is>
          <t>table1</t>
        </is>
      </c>
      <c r="C19" s="5" t="inlineStr">
        <is>
          <t>general_err</t>
        </is>
      </c>
      <c r="D19" s="5" t="inlineStr">
        <is>
          <t>D=-12.21</t>
        </is>
      </c>
      <c r="E19" s="5" t="inlineStr">
        <is>
          <t>D out of range</t>
        </is>
      </c>
    </row>
    <row r="20">
      <c r="A20" s="5" t="inlineStr">
        <is>
          <t>test1</t>
        </is>
      </c>
      <c r="B20" s="5" t="inlineStr">
        <is>
          <t>table1</t>
        </is>
      </c>
      <c r="C20" s="5" t="inlineStr">
        <is>
          <t>general_err</t>
        </is>
      </c>
      <c r="D20" s="5" t="inlineStr">
        <is>
          <t>D=-12.08</t>
        </is>
      </c>
      <c r="E20" s="5" t="inlineStr">
        <is>
          <t>D out of range</t>
        </is>
      </c>
    </row>
    <row r="21">
      <c r="A21" s="5" t="inlineStr">
        <is>
          <t>test1</t>
        </is>
      </c>
      <c r="B21" s="5" t="inlineStr">
        <is>
          <t>table1</t>
        </is>
      </c>
      <c r="C21" s="5" t="inlineStr">
        <is>
          <t>general_err</t>
        </is>
      </c>
      <c r="D21" s="5" t="inlineStr">
        <is>
          <t>D=-12.00</t>
        </is>
      </c>
      <c r="E21" s="5" t="inlineStr">
        <is>
          <t>D out of range</t>
        </is>
      </c>
    </row>
    <row r="22">
      <c r="A22" s="5" t="inlineStr">
        <is>
          <t>test7</t>
        </is>
      </c>
      <c r="B22" s="5" t="inlineStr">
        <is>
          <t>table6</t>
        </is>
      </c>
      <c r="C22" s="5" t="inlineStr">
        <is>
          <t>polymer_name</t>
        </is>
      </c>
      <c r="D22" s="5" t="inlineStr">
        <is>
          <t>pPEGMEA</t>
        </is>
      </c>
      <c r="E22" s="5" t="inlineStr">
        <is>
          <t>Invalid chemical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2026-07-23T10:41:53Z</dcterms:created>
  <dcterms:modified xmlns:dcterms="http://purl.org/dc/terms/" xmlns:xsi="http://www.w3.org/2001/XMLSchema-instance" xsi:type="dcterms:W3CDTF">2026-07-23T10:41:53Z</dcterms:modified>
</cp:coreProperties>
</file>