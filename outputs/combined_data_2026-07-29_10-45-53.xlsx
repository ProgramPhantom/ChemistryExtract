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poly(2-vinylpyridine)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poly(butyl 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poly(ethylene glycol methyl ether methacrylate)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 methyl ether methacrylate)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oxide)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acetone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acetonitrile-d3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poly(ethylene oxide)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poly(ethylene oxide)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poly(ethylene oxide)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poly(ethylene oxide)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poly(ethylene oxide)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poly(ethylene oxide)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poly(ethylene oxide)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poly(ethylene oxide) in methanol-d4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poly(ethylene oxide) in poly(ethylene oxide)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poly(ethylene oxide)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poly(ethylene oxide)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poly(methyl methacrylate)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poly(methyl methacrylate)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poly(methyl methacrylate)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poly(methyl methacrylate)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poly(methyl methacrylate)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poly(methyl methacrylate)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poly(methyl methacrylate)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poly(methyl methacrylate)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poly(methyl methacrylate)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poly(methyl methacrylate)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poly(methyl methacrylate) in dichloromethane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poly(methyl methacrylate) in dichloromethane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poly(methyl methacrylate) in dimethyl sulfoxide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poly(methyl methacrylate) in dimethyl sulfoxide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poly(methyl methacrylate)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poly(methyl methacrylate)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poly(methyl methacrylate)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poly(methyl methacrylate)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poly(methyl methacrylate)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polyimide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dichloromethane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polymer_name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polymer_name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chloroform-d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dichloromethane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polystyrene in toluene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ser>
          <idx val="76"/>
          <order val="76"/>
          <tx>
            <v>polystyrene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'Polymers'!$F$96:$G$96</f>
            </numRef>
          </val>
        </ser>
        <ser>
          <idx val="77"/>
          <order val="77"/>
          <tx>
            <v>pullulan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'Polymers'!$F$97:$G$97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11:03:15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10:45:55</t>
        </is>
      </c>
    </row>
    <row r="7">
      <c r="A7" s="5" t="inlineStr">
        <is>
          <t>Run End Time</t>
        </is>
      </c>
      <c r="B7" s="5" t="inlineStr">
        <is>
          <t>2026-07-29 11:03:15</t>
        </is>
      </c>
    </row>
    <row r="8">
      <c r="A8" s="5" t="inlineStr">
        <is>
          <t>Total Execution Time</t>
        </is>
      </c>
      <c r="B8" s="5" t="inlineStr">
        <is>
          <t>1039.56s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1039.56s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node863.csf3.man.alces.network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34</v>
      </c>
    </row>
    <row r="35">
      <c r="A35" s="5" t="inlineStr">
        <is>
          <t>Polymer Identification Failure</t>
        </is>
      </c>
      <c r="B35" s="6" t="n">
        <v>28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COUNTIF(F20:F97, "&lt;&gt;#N/A")</f>
        <v/>
      </c>
      <c r="L5" s="9" t="inlineStr">
        <is>
          <t>poly(butyl acrylate)</t>
        </is>
      </c>
      <c r="M5" s="9" t="inlineStr">
        <is>
          <t>benzene</t>
        </is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</row>
    <row r="7">
      <c r="L7" s="9" t="inlineStr">
        <is>
          <t>poly(ethylene oxide)</t>
        </is>
      </c>
      <c r="M7" s="9" t="inlineStr">
        <is>
          <t>deuterium oxide</t>
        </is>
      </c>
    </row>
    <row r="8">
      <c r="L8" s="9" t="inlineStr">
        <is>
          <t>poly(methyl methacrylate)</t>
        </is>
      </c>
      <c r="M8" s="9" t="inlineStr">
        <is>
          <t>dichloromethane</t>
        </is>
      </c>
    </row>
    <row r="9">
      <c r="L9" s="9" t="inlineStr">
        <is>
          <t>polyimide</t>
        </is>
      </c>
      <c r="M9" s="9" t="inlineStr">
        <is>
          <t>dimethyl sulfoxide</t>
        </is>
      </c>
    </row>
    <row r="10">
      <c r="L10" s="9" t="inlineStr">
        <is>
          <t>polymer_name</t>
        </is>
      </c>
      <c r="M10" s="9" t="inlineStr">
        <is>
          <t>methanol-d4</t>
        </is>
      </c>
    </row>
    <row r="11">
      <c r="L11" s="9" t="inlineStr">
        <is>
          <t>polystyrene</t>
        </is>
      </c>
      <c r="M11" s="9" t="inlineStr">
        <is>
          <t>poly(ethylene oxide)</t>
        </is>
      </c>
    </row>
    <row r="12">
      <c r="L12" s="9" t="inlineStr">
        <is>
          <t>pullulan</t>
        </is>
      </c>
      <c r="M12" s="9" t="inlineStr">
        <is>
          <t>tetrahydrofuran</t>
        </is>
      </c>
    </row>
    <row r="13">
      <c r="M13" s="9" t="inlineStr">
        <is>
          <t>toluene</t>
        </is>
      </c>
    </row>
    <row r="14">
      <c r="M14" s="9" t="inlineStr">
        <is>
          <t>water</t>
        </is>
      </c>
    </row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deuterium oxide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poly(2-vinylpyridine)</t>
        </is>
      </c>
      <c r="B21" s="5" t="inlineStr">
        <is>
          <t>benzene</t>
        </is>
      </c>
      <c r="C21" s="6" t="n"/>
      <c r="D21" s="6" t="n">
        <v>-7.903646240006705</v>
      </c>
      <c r="E21" s="6" t="n">
        <v>0.48883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chloroform-d</t>
        </is>
      </c>
      <c r="C22" s="6" t="n"/>
      <c r="D22" s="6" t="n">
        <v>-7.577590743390301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dichloromethane</t>
        </is>
      </c>
      <c r="C23" s="6" t="n"/>
      <c r="D23" s="6" t="n">
        <v>-7.947113764743619</v>
      </c>
      <c r="E23" s="6" t="n">
        <v>0.53396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tetrahydrofuran</t>
        </is>
      </c>
      <c r="C24" s="6" t="n"/>
      <c r="D24" s="6" t="n">
        <v>-7.739952475004678</v>
      </c>
      <c r="E24" s="6" t="n">
        <v>0.5049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poly(butyl acrylate)</t>
        </is>
      </c>
      <c r="B25" s="5" t="inlineStr">
        <is>
          <t>acetone</t>
        </is>
      </c>
      <c r="C25" s="6" t="n"/>
      <c r="D25" s="6" t="n">
        <v>-7.56</v>
      </c>
      <c r="E25" s="6" t="n">
        <v>0.5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benzene</t>
        </is>
      </c>
      <c r="C26" s="6" t="n"/>
      <c r="D26" s="6" t="n">
        <v>-7.83</v>
      </c>
      <c r="E26" s="6" t="n">
        <v>0.51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poly(ethylene glycol methyl ether methacrylate)</t>
        </is>
      </c>
      <c r="B27" s="5" t="inlineStr">
        <is>
          <t>acetone</t>
        </is>
      </c>
      <c r="C27" s="6" t="n"/>
      <c r="D27" s="6" t="n">
        <v>-8.01</v>
      </c>
      <c r="E27" s="6" t="n">
        <v>0.39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 methyl ether methacrylate)</t>
        </is>
      </c>
      <c r="B28" s="5" t="inlineStr">
        <is>
          <t>water</t>
        </is>
      </c>
      <c r="C28" s="6" t="n"/>
      <c r="D28" s="6" t="n">
        <v>-8.31</v>
      </c>
      <c r="E28" s="6" t="n">
        <v>0.47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oxide)</t>
        </is>
      </c>
      <c r="B29" s="5" t="inlineStr">
        <is>
          <t>acetone</t>
        </is>
      </c>
      <c r="C29" s="6" t="n"/>
      <c r="D29" s="6" t="n">
        <v>-7.94</v>
      </c>
      <c r="E29" s="6" t="n">
        <v>0.41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acetone</t>
        </is>
      </c>
      <c r="C30" s="6" t="n"/>
      <c r="D30" s="6" t="n">
        <v>-7.673502333065918</v>
      </c>
      <c r="E30" s="6" t="n">
        <v>0.474477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acetone</t>
        </is>
      </c>
      <c r="C31" s="6" t="n"/>
      <c r="D31" s="6" t="n">
        <v>-7.673500285274963</v>
      </c>
      <c r="E31" s="6" t="n">
        <v>0.47448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acetonitrile-d3</t>
        </is>
      </c>
      <c r="C32" s="6" t="n"/>
      <c r="D32" s="6" t="n">
        <v>-7.88</v>
      </c>
      <c r="E32" s="6" t="n">
        <v>0.44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poly(ethylene oxide)</t>
        </is>
      </c>
      <c r="B33" s="5" t="inlineStr">
        <is>
          <t>acetonitrile-d3</t>
        </is>
      </c>
      <c r="C33" s="6" t="n"/>
      <c r="D33" s="6" t="n">
        <v>-7.590203777049215</v>
      </c>
      <c r="E33" s="6" t="n">
        <v>0.515853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poly(ethylene oxide)</t>
        </is>
      </c>
      <c r="B34" s="5" t="inlineStr">
        <is>
          <t>acetonitrile-d3</t>
        </is>
      </c>
      <c r="C34" s="6" t="n"/>
      <c r="D34" s="6" t="n">
        <v>-7.281913705216908</v>
      </c>
      <c r="E34" s="6" t="n">
        <v>0.59613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poly(ethylene oxide)</t>
        </is>
      </c>
      <c r="B35" s="5" t="inlineStr">
        <is>
          <t>deuterium oxide</t>
        </is>
      </c>
      <c r="C35" s="6" t="n"/>
      <c r="D35" s="6" t="n">
        <v>-7.62</v>
      </c>
      <c r="E35" s="6" t="n">
        <v>0.62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poly(ethylene oxide)</t>
        </is>
      </c>
      <c r="B36" s="5" t="inlineStr">
        <is>
          <t>deuterium oxide</t>
        </is>
      </c>
      <c r="C36" s="6" t="inlineStr">
        <is>
          <t>Not found</t>
        </is>
      </c>
      <c r="D36" s="6" t="n">
        <v>-8.390000000000001</v>
      </c>
      <c r="E36" s="6" t="n">
        <v>0.47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poly(ethylene oxide)</t>
        </is>
      </c>
      <c r="B37" s="5" t="inlineStr">
        <is>
          <t>deuterium oxide</t>
        </is>
      </c>
      <c r="C37" s="6" t="n"/>
      <c r="D37" s="6" t="n">
        <v>-8.23</v>
      </c>
      <c r="E37" s="6" t="n">
        <v>0.49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poly(ethylene oxide)</t>
        </is>
      </c>
      <c r="B38" s="5" t="inlineStr">
        <is>
          <t>deuterium oxide</t>
        </is>
      </c>
      <c r="C38" s="6" t="n"/>
      <c r="D38" s="6" t="n">
        <v>-8.327</v>
      </c>
      <c r="E38" s="6" t="n">
        <v>0.4466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poly(ethylene oxide)</t>
        </is>
      </c>
      <c r="B39" s="5" t="inlineStr">
        <is>
          <t>deuterium oxide</t>
        </is>
      </c>
      <c r="C39" s="6" t="n"/>
      <c r="D39" s="6" t="n">
        <v>-8.101177771017927</v>
      </c>
      <c r="E39" s="6" t="n">
        <v>0.512155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poly(ethylene oxide)</t>
        </is>
      </c>
      <c r="B40" s="5" t="inlineStr">
        <is>
          <t>deuterium oxide</t>
        </is>
      </c>
      <c r="C40" s="6" t="n"/>
      <c r="D40" s="6" t="n">
        <v>-7.877194537152556</v>
      </c>
      <c r="E40" s="6" t="n">
        <v>0.5723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poly(ethylene oxide)</t>
        </is>
      </c>
      <c r="B41" s="5" t="inlineStr">
        <is>
          <t>deuterium oxide</t>
        </is>
      </c>
      <c r="C41" s="6" t="n"/>
      <c r="D41" s="6" t="n">
        <v>-7.877194537152556</v>
      </c>
      <c r="E41" s="6" t="n">
        <v>0.5723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poly(ethylene oxide)</t>
        </is>
      </c>
      <c r="B42" s="5" t="inlineStr">
        <is>
          <t>deuterium oxide</t>
        </is>
      </c>
      <c r="C42" s="6" t="n"/>
      <c r="D42" s="6" t="n">
        <v>-7.842301520724484</v>
      </c>
      <c r="E42" s="6" t="n">
        <v>0.55987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poly(ethylene oxide)</t>
        </is>
      </c>
      <c r="B43" s="5" t="inlineStr">
        <is>
          <t>deuterium oxide</t>
        </is>
      </c>
      <c r="C43" s="6" t="n"/>
      <c r="D43" s="6" t="n">
        <v>-7.717785866937665</v>
      </c>
      <c r="E43" s="6" t="n">
        <v>0.5633899999999999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poly(ethylene oxide)</t>
        </is>
      </c>
      <c r="B44" s="5" t="inlineStr">
        <is>
          <t>deuterium oxide</t>
        </is>
      </c>
      <c r="C44" s="6" t="n"/>
      <c r="D44" s="6" t="n">
        <v>-7.625031813700766</v>
      </c>
      <c r="E44" s="6" t="n">
        <v>0.55747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poly(ethylene oxide)</t>
        </is>
      </c>
      <c r="B45" s="5" t="inlineStr">
        <is>
          <t>deuterium oxide</t>
        </is>
      </c>
      <c r="C45" s="6" t="n"/>
      <c r="D45" s="6" t="n">
        <v>-7.556330296503602</v>
      </c>
      <c r="E45" s="6" t="n">
        <v>0.55169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poly(ethylene oxide)</t>
        </is>
      </c>
      <c r="B46" s="5" t="inlineStr">
        <is>
          <t>methanol-d4</t>
        </is>
      </c>
      <c r="C46" s="6" t="n"/>
      <c r="D46" s="6" t="n">
        <v>-8.06</v>
      </c>
      <c r="E46" s="6" t="n">
        <v>0.45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poly(ethylene oxide)</t>
        </is>
      </c>
      <c r="B47" s="5" t="inlineStr">
        <is>
          <t>methanol-d4</t>
        </is>
      </c>
      <c r="C47" s="6" t="n"/>
      <c r="D47" s="6" t="n">
        <v>-7.843617451027789</v>
      </c>
      <c r="E47" s="6" t="n">
        <v>0.504105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poly(ethylene oxide)</t>
        </is>
      </c>
      <c r="B48" s="5" t="inlineStr">
        <is>
          <t>methanol-d4</t>
        </is>
      </c>
      <c r="C48" s="6" t="n"/>
      <c r="D48" s="6" t="n">
        <v>-7.591607379866639</v>
      </c>
      <c r="E48" s="6" t="n">
        <v>0.57021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poly(ethylene oxide)</t>
        </is>
      </c>
      <c r="B49" s="5" t="inlineStr">
        <is>
          <t>poly(ethylene oxide)</t>
        </is>
      </c>
      <c r="C49" s="6" t="n"/>
      <c r="D49" s="6" t="n">
        <v>-8.039999999999999</v>
      </c>
      <c r="E49" s="6" t="n">
        <v>0.45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poly(ethylene oxide)</t>
        </is>
      </c>
      <c r="B50" s="5" t="inlineStr">
        <is>
          <t>tetrahydrofuran</t>
        </is>
      </c>
      <c r="C50" s="6" t="n"/>
      <c r="D50" s="6" t="n">
        <v>-7.94</v>
      </c>
      <c r="E50" s="6" t="n">
        <v>0.46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poly(ethylene oxide)</t>
        </is>
      </c>
      <c r="B51" s="5" t="inlineStr">
        <is>
          <t>tetrahydrofuran</t>
        </is>
      </c>
      <c r="C51" s="6" t="n"/>
      <c r="D51" s="6" t="n">
        <v>-7.478914244084677</v>
      </c>
      <c r="E51" s="6" t="n">
        <v>0.58062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poly(methyl methacrylate)</t>
        </is>
      </c>
      <c r="B52" s="5" t="inlineStr">
        <is>
          <t>acetone</t>
        </is>
      </c>
      <c r="C52" s="6" t="n"/>
      <c r="D52" s="6" t="n">
        <v>-7.74</v>
      </c>
      <c r="E52" s="6" t="n">
        <v>0.44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poly(methyl methacrylate)</t>
        </is>
      </c>
      <c r="B53" s="5" t="inlineStr">
        <is>
          <t>benzene</t>
        </is>
      </c>
      <c r="C53" s="6" t="n"/>
      <c r="D53" s="6" t="n">
        <v>-7.91</v>
      </c>
      <c r="E53" s="6" t="n">
        <v>0.48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poly(methyl methacrylate)</t>
        </is>
      </c>
      <c r="B54" s="5" t="inlineStr">
        <is>
          <t>benzene</t>
        </is>
      </c>
      <c r="C54" s="6" t="n"/>
      <c r="D54" s="6" t="n">
        <v>-7.683956229316216</v>
      </c>
      <c r="E54" s="6" t="n">
        <v>0.530394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poly(methyl methacrylate)</t>
        </is>
      </c>
      <c r="B55" s="5" t="inlineStr">
        <is>
          <t>benzene</t>
        </is>
      </c>
      <c r="C55" s="6" t="n"/>
      <c r="D55" s="6" t="n">
        <v>-7.528356300958614</v>
      </c>
      <c r="E55" s="6" t="n">
        <v>0.56913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poly(methyl methacrylate)</t>
        </is>
      </c>
      <c r="B56" s="5" t="inlineStr">
        <is>
          <t>benzene</t>
        </is>
      </c>
      <c r="C56" s="6" t="n"/>
      <c r="D56" s="6" t="n">
        <v>-7.696566333993796</v>
      </c>
      <c r="E56" s="6" t="n">
        <v>0.52734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poly(methyl methacrylate)</t>
        </is>
      </c>
      <c r="B57" s="5" t="inlineStr">
        <is>
          <t>benzene</t>
        </is>
      </c>
      <c r="C57" s="6" t="n"/>
      <c r="D57" s="6" t="n">
        <v>-7.623331814189471</v>
      </c>
      <c r="E57" s="6" t="n">
        <v>0.52996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poly(methyl methacrylate)</t>
        </is>
      </c>
      <c r="B58" s="5" t="inlineStr">
        <is>
          <t>benzene</t>
        </is>
      </c>
      <c r="C58" s="6" t="n"/>
      <c r="D58" s="6" t="n">
        <v>-7.58838029403677</v>
      </c>
      <c r="E58" s="6" t="n">
        <v>0.52552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poly(methyl methacrylate)</t>
        </is>
      </c>
      <c r="B59" s="5" t="inlineStr">
        <is>
          <t>benzene</t>
        </is>
      </c>
      <c r="C59" s="6" t="n"/>
      <c r="D59" s="6" t="n">
        <v>-7.512607063941288</v>
      </c>
      <c r="E59" s="6" t="n">
        <v>0.53221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poly(methyl methacrylate)</t>
        </is>
      </c>
      <c r="B60" s="5" t="inlineStr">
        <is>
          <t>benzene</t>
        </is>
      </c>
      <c r="C60" s="6" t="n"/>
      <c r="D60" s="6" t="n">
        <v>-7.534364379446671</v>
      </c>
      <c r="E60" s="6" t="n">
        <v>0.51415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poly(methyl methacrylate)</t>
        </is>
      </c>
      <c r="B61" s="5" t="inlineStr">
        <is>
          <t>benzene</t>
        </is>
      </c>
      <c r="C61" s="6" t="n"/>
      <c r="D61" s="6" t="n">
        <v>-7.486103513077076</v>
      </c>
      <c r="E61" s="6" t="n">
        <v>0.51461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poly(methyl methacrylate)</t>
        </is>
      </c>
      <c r="B62" s="5" t="inlineStr">
        <is>
          <t>chloroform-d</t>
        </is>
      </c>
      <c r="C62" s="6" t="inlineStr">
        <is>
          <t>Not found</t>
        </is>
      </c>
      <c r="D62" s="6" t="n">
        <v>-7.53</v>
      </c>
      <c r="E62" s="6" t="n">
        <v>0.5600000000000001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poly(methyl methacrylate)</t>
        </is>
      </c>
      <c r="B63" s="5" t="inlineStr">
        <is>
          <t>chloroform-d</t>
        </is>
      </c>
      <c r="C63" s="6" t="n"/>
      <c r="D63" s="6" t="n">
        <v>-7.579851091223765</v>
      </c>
      <c r="E63" s="6" t="n">
        <v>0.543219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poly(methyl methacrylate)</t>
        </is>
      </c>
      <c r="B64" s="5" t="inlineStr">
        <is>
          <t>chloroform-d</t>
        </is>
      </c>
      <c r="C64" s="6" t="n"/>
      <c r="D64" s="6" t="n">
        <v>-7.416619835412931</v>
      </c>
      <c r="E64" s="6" t="n">
        <v>0.58372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poly(methyl methacrylate)</t>
        </is>
      </c>
      <c r="B65" s="5" t="inlineStr">
        <is>
          <t>dichloromethane</t>
        </is>
      </c>
      <c r="C65" s="6" t="n"/>
      <c r="D65" s="6" t="n">
        <v>-7.48967889681907</v>
      </c>
      <c r="E65" s="6" t="n">
        <v>0.53678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poly(methyl methacrylate)</t>
        </is>
      </c>
      <c r="B66" s="5" t="inlineStr">
        <is>
          <t>dichloromethane</t>
        </is>
      </c>
      <c r="C66" s="6" t="n"/>
      <c r="D66" s="6" t="n">
        <v>-7.285687008705199</v>
      </c>
      <c r="E66" s="6" t="n">
        <v>0.58736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poly(methyl methacrylate)</t>
        </is>
      </c>
      <c r="B67" s="5" t="inlineStr">
        <is>
          <t>dimethyl sulfoxide</t>
        </is>
      </c>
      <c r="C67" s="6" t="n"/>
      <c r="D67" s="6" t="n">
        <v>-8.505773029599105</v>
      </c>
      <c r="E67" s="6" t="n">
        <v>0.444236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poly(methyl methacrylate)</t>
        </is>
      </c>
      <c r="B68" s="5" t="inlineStr">
        <is>
          <t>dimethyl sulfoxide</t>
        </is>
      </c>
      <c r="C68" s="6" t="n"/>
      <c r="D68" s="6" t="n">
        <v>-8.505775813083098</v>
      </c>
      <c r="E68" s="6" t="n">
        <v>0.44424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poly(methyl methacrylate)</t>
        </is>
      </c>
      <c r="B69" s="5" t="inlineStr">
        <is>
          <t>tetrahydrofuran</t>
        </is>
      </c>
      <c r="C69" s="6" t="n"/>
      <c r="D69" s="6" t="n">
        <v>-8.02</v>
      </c>
      <c r="E69" s="6" t="n">
        <v>0.43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poly(methyl methacrylate)</t>
        </is>
      </c>
      <c r="B70" s="5" t="inlineStr">
        <is>
          <t>tetrahydrofuran</t>
        </is>
      </c>
      <c r="C70" s="6" t="n"/>
      <c r="D70" s="6" t="n">
        <v>-7.61465473895388</v>
      </c>
      <c r="E70" s="6" t="n">
        <v>0.517608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poly(methyl methacrylate)</t>
        </is>
      </c>
      <c r="B71" s="5" t="inlineStr">
        <is>
          <t>tetrahydrofuran</t>
        </is>
      </c>
      <c r="C71" s="6" t="n"/>
      <c r="D71" s="6" t="n">
        <v>-7.434234799547848</v>
      </c>
      <c r="E71" s="6" t="n">
        <v>0.5624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poly(methyl methacrylate)</t>
        </is>
      </c>
      <c r="B72" s="5" t="inlineStr">
        <is>
          <t>toluene</t>
        </is>
      </c>
      <c r="C72" s="6" t="inlineStr">
        <is>
          <t>Not found</t>
        </is>
      </c>
      <c r="D72" s="6" t="n">
        <v>-7.72</v>
      </c>
      <c r="E72" s="6" t="n">
        <v>0.5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poly(methyl methacrylate)</t>
        </is>
      </c>
      <c r="B73" s="5" t="inlineStr">
        <is>
          <t>toluene</t>
        </is>
      </c>
      <c r="C73" s="6" t="n"/>
      <c r="D73" s="6" t="n">
        <v>-8.109999999999999</v>
      </c>
      <c r="E73" s="6" t="n">
        <v>0.43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polyimide</t>
        </is>
      </c>
      <c r="B74" s="5" t="inlineStr">
        <is>
          <t>benzene</t>
        </is>
      </c>
      <c r="C74" s="6" t="n"/>
      <c r="D74" s="6" t="n">
        <v>-7.388584736177106</v>
      </c>
      <c r="E74" s="6" t="n">
        <v>0.61614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chloroform-d</t>
        </is>
      </c>
      <c r="C75" s="6" t="n"/>
      <c r="D75" s="6" t="n">
        <v>-7.298285260295005</v>
      </c>
      <c r="E75" s="6" t="n">
        <v>0.62721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dichloromethane</t>
        </is>
      </c>
      <c r="C76" s="6" t="n"/>
      <c r="D76" s="6" t="n">
        <v>-7.380124391499957</v>
      </c>
      <c r="E76" s="6" t="n">
        <v>0.57317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tetrahydrofuran</t>
        </is>
      </c>
      <c r="C77" s="6" t="n"/>
      <c r="D77" s="6" t="n">
        <v>-7.330497165895657</v>
      </c>
      <c r="E77" s="6" t="n">
        <v>0.60811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polymer_name</t>
        </is>
      </c>
      <c r="B78" s="5" t="inlineStr">
        <is>
          <t>acetone</t>
        </is>
      </c>
      <c r="C78" s="6" t="n"/>
      <c r="D78" s="6" t="n">
        <v>-7.78</v>
      </c>
      <c r="E78" s="6" t="n">
        <v>0.43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polymer_name</t>
        </is>
      </c>
      <c r="B79" s="5" t="inlineStr">
        <is>
          <t>tetrahydrofuran</t>
        </is>
      </c>
      <c r="C79" s="6" t="n"/>
      <c r="D79" s="6" t="n">
        <v>-7.733838887780599</v>
      </c>
      <c r="E79" s="6" t="n">
        <v>0.513725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acetone</t>
        </is>
      </c>
      <c r="C80" s="6" t="n"/>
      <c r="D80" s="6" t="n">
        <v>-7.679147780168245</v>
      </c>
      <c r="E80" s="6" t="n">
        <v>0.452089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acetone</t>
        </is>
      </c>
      <c r="C81" s="6" t="n"/>
      <c r="D81" s="6" t="n">
        <v>-7.679147780168245</v>
      </c>
      <c r="E81" s="6" t="n">
        <v>0.45209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</t>
        </is>
      </c>
      <c r="B82" s="5" t="inlineStr">
        <is>
          <t>benzene</t>
        </is>
      </c>
      <c r="C82" s="6" t="inlineStr">
        <is>
          <t>Not found</t>
        </is>
      </c>
      <c r="D82" s="6" t="n">
        <v>-7.7</v>
      </c>
      <c r="E82" s="6" t="n">
        <v>0.54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</t>
        </is>
      </c>
      <c r="B83" s="5" t="inlineStr">
        <is>
          <t>benzene</t>
        </is>
      </c>
      <c r="C83" s="6" t="n"/>
      <c r="D83" s="6" t="n">
        <v>-7.94</v>
      </c>
      <c r="E83" s="6" t="n">
        <v>0.49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</t>
        </is>
      </c>
      <c r="B84" s="5" t="inlineStr">
        <is>
          <t>benzene</t>
        </is>
      </c>
      <c r="C84" s="6" t="n"/>
      <c r="D84" s="6" t="n">
        <v>-7.718505297869414</v>
      </c>
      <c r="E84" s="6" t="n">
        <v>0.5283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</t>
        </is>
      </c>
      <c r="B85" s="5" t="inlineStr">
        <is>
          <t>benzene</t>
        </is>
      </c>
      <c r="C85" s="6" t="n"/>
      <c r="D85" s="6" t="n">
        <v>-7.594397544790686</v>
      </c>
      <c r="E85" s="6" t="n">
        <v>0.56041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</t>
        </is>
      </c>
      <c r="B86" s="5" t="inlineStr">
        <is>
          <t>chloroform-d</t>
        </is>
      </c>
      <c r="C86" s="6" t="n"/>
      <c r="D86" s="6" t="n">
        <v>-7.97</v>
      </c>
      <c r="E86" s="6" t="n">
        <v>0.46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</t>
        </is>
      </c>
      <c r="B87" s="5" t="inlineStr">
        <is>
          <t>chloroform-d</t>
        </is>
      </c>
      <c r="C87" s="6" t="n"/>
      <c r="D87" s="6" t="n">
        <v>-7.630222150689829</v>
      </c>
      <c r="E87" s="6" t="n">
        <v>0.534677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</t>
        </is>
      </c>
      <c r="B88" s="5" t="inlineStr">
        <is>
          <t>chloroform-d</t>
        </is>
      </c>
      <c r="C88" s="6" t="n"/>
      <c r="D88" s="6" t="n">
        <v>-7.523371224817643</v>
      </c>
      <c r="E88" s="6" t="n">
        <v>0.5623899999999999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</t>
        </is>
      </c>
      <c r="B89" s="5" t="inlineStr">
        <is>
          <t>dichloromethane</t>
        </is>
      </c>
      <c r="C89" s="6" t="n"/>
      <c r="D89" s="6" t="n">
        <v>-7.56166654250548</v>
      </c>
      <c r="E89" s="6" t="n">
        <v>0.5214530000000001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</t>
        </is>
      </c>
      <c r="B90" s="5" t="inlineStr">
        <is>
          <t>dichloromethane</t>
        </is>
      </c>
      <c r="C90" s="6" t="n"/>
      <c r="D90" s="6" t="n">
        <v>-7.406713932979542</v>
      </c>
      <c r="E90" s="6" t="n">
        <v>0.56162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</t>
        </is>
      </c>
      <c r="B91" s="5" t="inlineStr">
        <is>
          <t>tetrahydrofuran</t>
        </is>
      </c>
      <c r="C91" s="6" t="n"/>
      <c r="D91" s="6" t="n">
        <v>-8.07</v>
      </c>
      <c r="E91" s="6" t="n">
        <v>0.42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</t>
        </is>
      </c>
      <c r="B92" s="5" t="inlineStr">
        <is>
          <t>tetrahydrofuran</t>
        </is>
      </c>
      <c r="C92" s="6" t="n"/>
      <c r="D92" s="6" t="n">
        <v>-7.655839673984551</v>
      </c>
      <c r="E92" s="6" t="n">
        <v>0.519361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</t>
        </is>
      </c>
      <c r="B93" s="5" t="inlineStr">
        <is>
          <t>tetrahydrofuran</t>
        </is>
      </c>
      <c r="C93" s="6" t="n"/>
      <c r="D93" s="6" t="n">
        <v>-7.497627511688311</v>
      </c>
      <c r="E93" s="6" t="n">
        <v>0.5604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</t>
        </is>
      </c>
      <c r="B94" s="5" t="inlineStr">
        <is>
          <t>toluene</t>
        </is>
      </c>
      <c r="C94" s="6" t="n"/>
      <c r="D94" s="6" t="n">
        <v>-7.82</v>
      </c>
      <c r="E94" s="6" t="n">
        <v>0.51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polystyrene</t>
        </is>
      </c>
      <c r="B95" s="5" t="inlineStr">
        <is>
          <t>toluene</t>
        </is>
      </c>
      <c r="C95" s="6" t="n"/>
      <c r="D95" s="6" t="n">
        <v>-7.670077622607558</v>
      </c>
      <c r="E95" s="6" t="n">
        <v>0.531065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  <row r="96">
      <c r="A96" s="5" t="inlineStr">
        <is>
          <t>polystyrene</t>
        </is>
      </c>
      <c r="B96" s="5" t="inlineStr">
        <is>
          <t>toluene</t>
        </is>
      </c>
      <c r="C96" s="6" t="n"/>
      <c r="D96" s="6" t="n">
        <v>-7.670073559204548</v>
      </c>
      <c r="E96" s="6" t="n">
        <v>0.53106</v>
      </c>
      <c r="F96" s="6">
        <f>IF(AND(OR($C$3="All", $C$3="", A96=$C$3), OR($C$4="All", $C$4="", B96=$C$4)), D96-E96*3, NA())</f>
        <v/>
      </c>
      <c r="G96" s="6">
        <f>IF(AND(OR($C$3="All", $C$3="", A96=$C$3), OR($C$4="All", $C$4="", B96=$C$4)), D96-E96*6, NA())</f>
        <v/>
      </c>
    </row>
    <row r="97">
      <c r="A97" s="5" t="inlineStr">
        <is>
          <t>pullulan</t>
        </is>
      </c>
      <c r="B97" s="5" t="inlineStr">
        <is>
          <t>deuterium oxide</t>
        </is>
      </c>
      <c r="C97" s="6" t="inlineStr">
        <is>
          <t>Not found</t>
        </is>
      </c>
      <c r="D97" s="6" t="n">
        <v>-8.199999999999999</v>
      </c>
      <c r="E97" s="6" t="n">
        <v>0.49</v>
      </c>
      <c r="F97" s="6">
        <f>IF(AND(OR($C$3="All", $C$3="", A97=$C$3), OR($C$4="All", $C$4="", B97=$C$4)), D97-E97*3, NA())</f>
        <v/>
      </c>
      <c r="G97" s="6">
        <f>IF(AND(OR($C$3="All", $C$3="", A97=$C$3), OR($C$4="All", $C$4="", B97=$C$4)), D97-E97*6,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=Polymers!$L$2:$L$12</formula1>
    </dataValidation>
    <dataValidation sqref="C4" showDropDown="0" showInputMessage="0" showErrorMessage="0" allowBlank="1" type="list">
      <formula1>=Polymers!$M$2:$M$14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small molecules in D 2 O a</t>
        </is>
      </c>
      <c r="E20" s="5" t="inlineStr">
        <is>
          <t>D2O</t>
        </is>
      </c>
      <c r="F20" s="5" t="inlineStr">
        <is>
          <t>deuterium oxide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small molecules in CDCl 3 a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polymer_name,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polymer_name,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3" t="inlineStr">
        <is>
          <t>2021 - Solvent‐Independent Molecular Weight Determination of Polymers Based on a Truly  Universal Calibration</t>
        </is>
      </c>
      <c r="B59" s="13" t="inlineStr">
        <is>
          <t>table2</t>
        </is>
      </c>
      <c r="C59" s="13" t="inlineStr">
        <is>
          <t>Flory</t>
        </is>
      </c>
      <c r="D59" s="13" t="inlineStr">
        <is>
          <t>temperature_missing</t>
        </is>
      </c>
      <c r="E59" s="13" t="inlineStr">
        <is>
          <t>Temperature Missing/Invalid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3" t="inlineStr">
        <is>
          <t>2023 - The Universal Calibration for Structure- and Solvent-Independent Molar Mass Determinations of Polymers Using Diffusion-Ordered Spectroscopy</t>
        </is>
      </c>
      <c r="B92" s="13" t="inlineStr">
        <is>
          <t>table1</t>
        </is>
      </c>
      <c r="C92" s="13" t="inlineStr">
        <is>
          <t>Flory</t>
        </is>
      </c>
      <c r="D92" s="13" t="inlineStr">
        <is>
          <t>temperature_missing</t>
        </is>
      </c>
      <c r="E92" s="13" t="inlineStr">
        <is>
          <t>Temperature Missing/Invalid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2026-07-29T10:03:15Z</dcterms:created>
  <dcterms:modified xmlns:dcterms="http://purl.org/dc/terms/" xmlns:xsi="http://www.w3.org/2001/XMLSchema-instance" xsi:type="dcterms:W3CDTF">2026-07-29T10:03:15Z</dcterms:modified>
</cp:coreProperties>
</file>