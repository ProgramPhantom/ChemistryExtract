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linear pullulan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poly(2-vinylpyridine)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poly(2-vinylpyridine)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poly(2-vinylpyridine) in dichloromethane-d2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poly(2-vinylpyridine)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poly(butyl 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poly(butyl 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glycol) methyl ether acrylate in acetone-d6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poly(ethylene glycol) methyl ether acrylate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poly(ethylene oxide) in acetone-d6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poly(ethylene oxide) in acetone-d6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poly(ethylene oxide) in acetone-d6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poly(ethylene oxide) in acetonitrile-d3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poly(ethylene oxide) in acetonitrile-d3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poly(ethylene oxide) in methanol-d4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poly(ethylene oxide) in poly(ethylene oxide)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poly(ethylene oxide)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poly(ethylene oxide)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poly(ethylene oxide) in water-d2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poly(ethylene oxide)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poly(ethylene oxide) in water-d2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poly(ethylene oxide) in water-d2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poly(ethylene oxide) in water-d2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poly(ethylene oxide)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poly(ethylene oxide)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poly(ethylene oxide) in water-d2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poly(ethylene oxide) in water-d2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poly(ethylene oxide) in water-d2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poly(ethylene oxide)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poly(methyl methacrylate)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poly(methyl methacrylate)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ser>
          <idx val="35"/>
          <order val="35"/>
          <tx>
            <v>poly(methyl methacrylate)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'Polymers'!$F$55:$G$55</f>
            </numRef>
          </val>
        </ser>
        <ser>
          <idx val="36"/>
          <order val="36"/>
          <tx>
            <v>poly(methyl methacrylate)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'Polymers'!$F$56:$G$56</f>
            </numRef>
          </val>
        </ser>
        <ser>
          <idx val="37"/>
          <order val="37"/>
          <tx>
            <v>poly(methyl methacrylate)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'Polymers'!$F$57:$G$57</f>
            </numRef>
          </val>
        </ser>
        <ser>
          <idx val="38"/>
          <order val="38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'Polymers'!$F$58:$G$58</f>
            </numRef>
          </val>
        </ser>
        <ser>
          <idx val="39"/>
          <order val="39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'Polymers'!$F$59:$G$59</f>
            </numRef>
          </val>
        </ser>
        <ser>
          <idx val="40"/>
          <order val="40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'Polymers'!$F$60:$G$60</f>
            </numRef>
          </val>
        </ser>
        <ser>
          <idx val="41"/>
          <order val="41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'Polymers'!$F$61:$G$61</f>
            </numRef>
          </val>
        </ser>
        <ser>
          <idx val="42"/>
          <order val="42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'Polymers'!$F$62:$G$62</f>
            </numRef>
          </val>
        </ser>
        <ser>
          <idx val="43"/>
          <order val="43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'Polymers'!$F$63:$G$63</f>
            </numRef>
          </val>
        </ser>
        <ser>
          <idx val="44"/>
          <order val="44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'Polymers'!$F$64:$G$64</f>
            </numRef>
          </val>
        </ser>
        <ser>
          <idx val="45"/>
          <order val="45"/>
          <tx>
            <v>poly(methyl methacrylate)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'Polymers'!$F$65:$G$65</f>
            </numRef>
          </val>
        </ser>
        <ser>
          <idx val="46"/>
          <order val="46"/>
          <tx>
            <v>poly(methyl methacrylate) in dichloromethane-d2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'Polymers'!$F$66:$G$66</f>
            </numRef>
          </val>
        </ser>
        <ser>
          <idx val="47"/>
          <order val="47"/>
          <tx>
            <v>poly(methyl methacrylate) in dichloromethane-d2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'Polymers'!$F$67:$G$67</f>
            </numRef>
          </val>
        </ser>
        <ser>
          <idx val="48"/>
          <order val="48"/>
          <tx>
            <v>poly(methyl methacrylate) in dimethyl sulfoxide-d6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'Polymers'!$F$68:$G$68</f>
            </numRef>
          </val>
        </ser>
        <ser>
          <idx val="49"/>
          <order val="49"/>
          <tx>
            <v>poly(methyl methacrylate) in dimethyl sulfoxide-d6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'Polymers'!$F$69:$G$69</f>
            </numRef>
          </val>
        </ser>
        <ser>
          <idx val="50"/>
          <order val="50"/>
          <tx>
            <v>poly(methyl methacrylate)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'Polymers'!$F$70:$G$70</f>
            </numRef>
          </val>
        </ser>
        <ser>
          <idx val="51"/>
          <order val="51"/>
          <tx>
            <v>poly(methyl methacrylate) in tetrahydrofuran-d8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'Polymers'!$F$71:$G$71</f>
            </numRef>
          </val>
        </ser>
        <ser>
          <idx val="52"/>
          <order val="52"/>
          <tx>
            <v>poly(methyl methacrylate)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'Polymers'!$F$72:$G$72</f>
            </numRef>
          </val>
        </ser>
        <ser>
          <idx val="53"/>
          <order val="53"/>
          <tx>
            <v>poly(methyl methacrylate) in toluene-d8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'Polymers'!$F$73:$G$73</f>
            </numRef>
          </val>
        </ser>
        <ser>
          <idx val="54"/>
          <order val="54"/>
          <tx>
            <v>poly(methyl methacrylate) in toluene-d8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'Polymers'!$F$74:$G$74</f>
            </numRef>
          </val>
        </ser>
        <ser>
          <idx val="55"/>
          <order val="55"/>
          <tx>
            <v>polyimide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'Polymers'!$F$75:$G$75</f>
            </numRef>
          </val>
        </ser>
        <ser>
          <idx val="56"/>
          <order val="56"/>
          <tx>
            <v>polyimide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'Polymers'!$F$76:$G$76</f>
            </numRef>
          </val>
        </ser>
        <ser>
          <idx val="57"/>
          <order val="57"/>
          <tx>
            <v>polyimide in dichloromethane-d2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'Polymers'!$F$77:$G$77</f>
            </numRef>
          </val>
        </ser>
        <ser>
          <idx val="58"/>
          <order val="58"/>
          <tx>
            <v>polyimide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'Polymers'!$F$78:$G$78</f>
            </numRef>
          </val>
        </ser>
        <ser>
          <idx val="59"/>
          <order val="59"/>
          <tx>
            <v>polystyrene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'Polymers'!$F$79:$G$79</f>
            </numRef>
          </val>
        </ser>
        <ser>
          <idx val="60"/>
          <order val="60"/>
          <tx>
            <v>polystyrene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'Polymers'!$F$80:$G$80</f>
            </numRef>
          </val>
        </ser>
        <ser>
          <idx val="61"/>
          <order val="61"/>
          <tx>
            <v>polystyrene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'Polymers'!$F$81:$G$81</f>
            </numRef>
          </val>
        </ser>
        <ser>
          <idx val="62"/>
          <order val="62"/>
          <tx>
            <v>polystyrene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'Polymers'!$F$82:$G$82</f>
            </numRef>
          </val>
        </ser>
        <ser>
          <idx val="63"/>
          <order val="63"/>
          <tx>
            <v>polystyrene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'Polymers'!$F$83:$G$83</f>
            </numRef>
          </val>
        </ser>
        <ser>
          <idx val="64"/>
          <order val="64"/>
          <tx>
            <v>polystyrene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'Polymers'!$F$84:$G$84</f>
            </numRef>
          </val>
        </ser>
        <ser>
          <idx val="65"/>
          <order val="65"/>
          <tx>
            <v>polystyrene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'Polymers'!$F$85:$G$85</f>
            </numRef>
          </val>
        </ser>
        <ser>
          <idx val="66"/>
          <order val="66"/>
          <tx>
            <v>polystyrene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'Polymers'!$F$86:$G$86</f>
            </numRef>
          </val>
        </ser>
        <ser>
          <idx val="67"/>
          <order val="67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'Polymers'!$F$87:$G$87</f>
            </numRef>
          </val>
        </ser>
        <ser>
          <idx val="68"/>
          <order val="68"/>
          <tx>
            <v>polystyrene in dichloromethane-d2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'Polymers'!$F$88:$G$88</f>
            </numRef>
          </val>
        </ser>
        <ser>
          <idx val="69"/>
          <order val="69"/>
          <tx>
            <v>polystyrene in dichloromethane-d2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'Polymers'!$F$89:$G$89</f>
            </numRef>
          </val>
        </ser>
        <ser>
          <idx val="70"/>
          <order val="70"/>
          <tx>
            <v>polystyrene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'Polymers'!$F$90:$G$90</f>
            </numRef>
          </val>
        </ser>
        <ser>
          <idx val="71"/>
          <order val="71"/>
          <tx>
            <v>polystyrene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'Polymers'!$F$91:$G$91</f>
            </numRef>
          </val>
        </ser>
        <ser>
          <idx val="72"/>
          <order val="72"/>
          <tx>
            <v>polystyrene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'Polymers'!$F$92:$G$92</f>
            </numRef>
          </val>
        </ser>
        <ser>
          <idx val="73"/>
          <order val="73"/>
          <tx>
            <v>polystyrene in toluene-d8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'Polymers'!$F$93:$G$93</f>
            </numRef>
          </val>
        </ser>
        <ser>
          <idx val="74"/>
          <order val="74"/>
          <tx>
            <v>polystyrene in toluene-d8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'Polymers'!$F$94:$G$94</f>
            </numRef>
          </val>
        </ser>
        <ser>
          <idx val="75"/>
          <order val="75"/>
          <tx>
            <v>polystyrene in toluene-d8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'Polymers'!$F$95:$G$95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2026-07-28 17:12:32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2026-07-28 16:43:33</t>
        </is>
      </c>
    </row>
    <row r="7">
      <c r="A7" s="5" t="inlineStr">
        <is>
          <t>Run End Time</t>
        </is>
      </c>
      <c r="B7" s="5" t="inlineStr">
        <is>
          <t>2026-07-28 17:12:32</t>
        </is>
      </c>
    </row>
    <row r="8">
      <c r="A8" s="5" t="inlineStr">
        <is>
          <t>Total Execution Time</t>
        </is>
      </c>
      <c r="B8" s="5" t="inlineStr">
        <is>
          <t>1738.92s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1738.92s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node863.csf3.man.alces.network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Solvent Identification Failure</t>
        </is>
      </c>
      <c r="B34" s="6" t="n">
        <v>34</v>
      </c>
    </row>
    <row r="35">
      <c r="A35" s="5" t="inlineStr">
        <is>
          <t>Polymer Identification Failure</t>
        </is>
      </c>
      <c r="B35" s="6" t="n">
        <v>32</v>
      </c>
    </row>
    <row r="36">
      <c r="A36" s="5" t="inlineStr">
        <is>
          <t>c_value Out of Range</t>
        </is>
      </c>
      <c r="B36" s="6" t="n">
        <v>26</v>
      </c>
    </row>
    <row r="37">
      <c r="A37" s="5" t="inlineStr">
        <is>
          <t>D Value Out of Range</t>
        </is>
      </c>
      <c r="B37" s="6" t="n">
        <v>14</v>
      </c>
    </row>
    <row r="38">
      <c r="A38" s="5" t="inlineStr">
        <is>
          <t>v_value Out of Range</t>
        </is>
      </c>
      <c r="B38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acetone-d6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linear pullulan</t>
        </is>
      </c>
      <c r="M4" s="9" t="inlineStr">
        <is>
          <t>acetonitrile-d3</t>
        </is>
      </c>
    </row>
    <row r="5">
      <c r="B5" s="10" t="inlineStr">
        <is>
          <t>Active Curves:</t>
        </is>
      </c>
      <c r="C5" s="11">
        <f>COUNTIF(F20:F95, "&lt;&gt;#N/A")</f>
        <v/>
      </c>
      <c r="L5" s="9" t="inlineStr">
        <is>
          <t>poly(2-vinylpyridine)</t>
        </is>
      </c>
      <c r="M5" s="9" t="inlineStr">
        <is>
          <t>benzene-d6</t>
        </is>
      </c>
    </row>
    <row r="6">
      <c r="L6" s="9" t="inlineStr">
        <is>
          <t>poly(butyl acrylate)</t>
        </is>
      </c>
      <c r="M6" s="9" t="inlineStr">
        <is>
          <t>chloroform-d</t>
        </is>
      </c>
    </row>
    <row r="7">
      <c r="L7" s="9" t="inlineStr">
        <is>
          <t>poly(ethylene glycol) methyl ether acrylate</t>
        </is>
      </c>
      <c r="M7" s="9" t="inlineStr">
        <is>
          <t>dichloromethane-d2</t>
        </is>
      </c>
    </row>
    <row r="8">
      <c r="L8" s="9" t="inlineStr">
        <is>
          <t>poly(ethylene oxide)</t>
        </is>
      </c>
      <c r="M8" s="9" t="inlineStr">
        <is>
          <t>dimethyl sulfoxide-d6</t>
        </is>
      </c>
    </row>
    <row r="9">
      <c r="L9" s="9" t="inlineStr">
        <is>
          <t>poly(methyl methacrylate)</t>
        </is>
      </c>
      <c r="M9" s="9" t="inlineStr">
        <is>
          <t>methanol-d4</t>
        </is>
      </c>
    </row>
    <row r="10">
      <c r="L10" s="9" t="inlineStr">
        <is>
          <t>polyimide</t>
        </is>
      </c>
      <c r="M10" s="9" t="inlineStr">
        <is>
          <t>poly(ethylene oxide)</t>
        </is>
      </c>
    </row>
    <row r="11">
      <c r="L11" s="9" t="inlineStr">
        <is>
          <t>polystyrene</t>
        </is>
      </c>
      <c r="M11" s="9" t="inlineStr">
        <is>
          <t>tetrahydrofuran-d8</t>
        </is>
      </c>
    </row>
    <row r="12">
      <c r="M12" s="9" t="inlineStr">
        <is>
          <t>toluene-d8</t>
        </is>
      </c>
    </row>
    <row r="13">
      <c r="M13" s="9" t="inlineStr">
        <is>
          <t>water-d2</t>
        </is>
      </c>
    </row>
    <row r="14"/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  <row r="20">
      <c r="A20" s="5" t="inlineStr">
        <is>
          <t>dextran</t>
        </is>
      </c>
      <c r="B20" s="5" t="inlineStr">
        <is>
          <t>water-d2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linear pullulan</t>
        </is>
      </c>
      <c r="B21" s="5" t="inlineStr">
        <is>
          <t>water-d2</t>
        </is>
      </c>
      <c r="C21" s="6" t="inlineStr">
        <is>
          <t>Not found</t>
        </is>
      </c>
      <c r="D21" s="6" t="n">
        <v>-8.199999999999999</v>
      </c>
      <c r="E21" s="6" t="n">
        <v>0.49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poly(2-vinylpyridine)</t>
        </is>
      </c>
      <c r="B22" s="5" t="inlineStr">
        <is>
          <t>benzene-d6</t>
        </is>
      </c>
      <c r="C22" s="6" t="n"/>
      <c r="D22" s="6" t="n">
        <v>-7.903646240006705</v>
      </c>
      <c r="E22" s="6" t="n">
        <v>0.48883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poly(2-vinylpyridine)</t>
        </is>
      </c>
      <c r="B23" s="5" t="inlineStr">
        <is>
          <t>chloroform-d</t>
        </is>
      </c>
      <c r="C23" s="6" t="n"/>
      <c r="D23" s="6" t="n">
        <v>-7.577590743390301</v>
      </c>
      <c r="E23" s="6" t="n">
        <v>0.48883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poly(2-vinylpyridine)</t>
        </is>
      </c>
      <c r="B24" s="5" t="inlineStr">
        <is>
          <t>dichloromethane-d2</t>
        </is>
      </c>
      <c r="C24" s="6" t="n"/>
      <c r="D24" s="6" t="n">
        <v>-7.947113764743619</v>
      </c>
      <c r="E24" s="6" t="n">
        <v>0.53396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poly(2-vinylpyridine)</t>
        </is>
      </c>
      <c r="B25" s="5" t="inlineStr">
        <is>
          <t>tetrahydrofuran-d8</t>
        </is>
      </c>
      <c r="C25" s="6" t="n"/>
      <c r="D25" s="6" t="n">
        <v>-7.739952475004678</v>
      </c>
      <c r="E25" s="6" t="n">
        <v>0.5049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poly(butyl acrylate)</t>
        </is>
      </c>
      <c r="B26" s="5" t="inlineStr">
        <is>
          <t>acetone-d6</t>
        </is>
      </c>
      <c r="C26" s="6" t="n"/>
      <c r="D26" s="6" t="n">
        <v>-7.56</v>
      </c>
      <c r="E26" s="6" t="n">
        <v>0.5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poly(butyl acrylate)</t>
        </is>
      </c>
      <c r="B27" s="5" t="inlineStr">
        <is>
          <t>benzene-d6</t>
        </is>
      </c>
      <c r="C27" s="6" t="n"/>
      <c r="D27" s="6" t="n">
        <v>-7.83</v>
      </c>
      <c r="E27" s="6" t="n">
        <v>0.51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glycol) methyl ether acrylate</t>
        </is>
      </c>
      <c r="B28" s="5" t="inlineStr">
        <is>
          <t>acetone-d6</t>
        </is>
      </c>
      <c r="C28" s="6" t="n"/>
      <c r="D28" s="6" t="n">
        <v>-8.01</v>
      </c>
      <c r="E28" s="6" t="n">
        <v>0.39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poly(ethylene glycol) methyl ether acrylate</t>
        </is>
      </c>
      <c r="B29" s="5" t="inlineStr">
        <is>
          <t>water-d2</t>
        </is>
      </c>
      <c r="C29" s="6" t="n"/>
      <c r="D29" s="6" t="n">
        <v>-8.31</v>
      </c>
      <c r="E29" s="6" t="n">
        <v>0.47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poly(ethylene oxide)</t>
        </is>
      </c>
      <c r="B30" s="5" t="inlineStr">
        <is>
          <t>acetone-d6</t>
        </is>
      </c>
      <c r="C30" s="6" t="n"/>
      <c r="D30" s="6" t="n">
        <v>-7.94</v>
      </c>
      <c r="E30" s="6" t="n">
        <v>0.41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poly(ethylene oxide)</t>
        </is>
      </c>
      <c r="B31" s="5" t="inlineStr">
        <is>
          <t>acetone-d6</t>
        </is>
      </c>
      <c r="C31" s="6" t="n"/>
      <c r="D31" s="6" t="n">
        <v>-7.673502333065918</v>
      </c>
      <c r="E31" s="6" t="n">
        <v>0.474477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poly(ethylene oxide)</t>
        </is>
      </c>
      <c r="B32" s="5" t="inlineStr">
        <is>
          <t>acetone-d6</t>
        </is>
      </c>
      <c r="C32" s="6" t="n"/>
      <c r="D32" s="6" t="n">
        <v>-7.673500285274963</v>
      </c>
      <c r="E32" s="6" t="n">
        <v>0.47448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poly(ethylene oxide)</t>
        </is>
      </c>
      <c r="B33" s="5" t="inlineStr">
        <is>
          <t>acetonitrile-d3</t>
        </is>
      </c>
      <c r="C33" s="6" t="n"/>
      <c r="D33" s="6" t="n">
        <v>-7.88</v>
      </c>
      <c r="E33" s="6" t="n">
        <v>0.44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poly(ethylene oxide)</t>
        </is>
      </c>
      <c r="B34" s="5" t="inlineStr">
        <is>
          <t>acetonitrile-d3</t>
        </is>
      </c>
      <c r="C34" s="6" t="n"/>
      <c r="D34" s="6" t="n">
        <v>-7.590203777049215</v>
      </c>
      <c r="E34" s="6" t="n">
        <v>0.515853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poly(ethylene oxide)</t>
        </is>
      </c>
      <c r="B35" s="5" t="inlineStr">
        <is>
          <t>acetonitrile-d3</t>
        </is>
      </c>
      <c r="C35" s="6" t="n"/>
      <c r="D35" s="6" t="n">
        <v>-7.281913705216908</v>
      </c>
      <c r="E35" s="6" t="n">
        <v>0.59613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poly(ethylene oxide)</t>
        </is>
      </c>
      <c r="B36" s="5" t="inlineStr">
        <is>
          <t>methanol-d4</t>
        </is>
      </c>
      <c r="C36" s="6" t="n"/>
      <c r="D36" s="6" t="n">
        <v>-8.06</v>
      </c>
      <c r="E36" s="6" t="n">
        <v>0.45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poly(ethylene oxide)</t>
        </is>
      </c>
      <c r="B37" s="5" t="inlineStr">
        <is>
          <t>methanol-d4</t>
        </is>
      </c>
      <c r="C37" s="6" t="n"/>
      <c r="D37" s="6" t="n">
        <v>-7.843617451027789</v>
      </c>
      <c r="E37" s="6" t="n">
        <v>0.504105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poly(ethylene oxide)</t>
        </is>
      </c>
      <c r="B38" s="5" t="inlineStr">
        <is>
          <t>methanol-d4</t>
        </is>
      </c>
      <c r="C38" s="6" t="n"/>
      <c r="D38" s="6" t="n">
        <v>-7.591607379866639</v>
      </c>
      <c r="E38" s="6" t="n">
        <v>0.57021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poly(ethylene oxide)</t>
        </is>
      </c>
      <c r="B39" s="5" t="inlineStr">
        <is>
          <t>poly(ethylene oxide)</t>
        </is>
      </c>
      <c r="C39" s="6" t="n"/>
      <c r="D39" s="6" t="n">
        <v>-8.039999999999999</v>
      </c>
      <c r="E39" s="6" t="n">
        <v>0.45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poly(ethylene oxide)</t>
        </is>
      </c>
      <c r="B40" s="5" t="inlineStr">
        <is>
          <t>tetrahydrofuran-d8</t>
        </is>
      </c>
      <c r="C40" s="6" t="n"/>
      <c r="D40" s="6" t="n">
        <v>-7.94</v>
      </c>
      <c r="E40" s="6" t="n">
        <v>0.46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poly(ethylene oxide)</t>
        </is>
      </c>
      <c r="B41" s="5" t="inlineStr">
        <is>
          <t>tetrahydrofuran-d8</t>
        </is>
      </c>
      <c r="C41" s="6" t="n"/>
      <c r="D41" s="6" t="n">
        <v>-7.478914244084677</v>
      </c>
      <c r="E41" s="6" t="n">
        <v>0.58062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poly(ethylene oxide)</t>
        </is>
      </c>
      <c r="B42" s="5" t="inlineStr">
        <is>
          <t>water-d2</t>
        </is>
      </c>
      <c r="C42" s="6" t="n"/>
      <c r="D42" s="6" t="n">
        <v>-7.62</v>
      </c>
      <c r="E42" s="6" t="n">
        <v>0.62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poly(ethylene oxide)</t>
        </is>
      </c>
      <c r="B43" s="5" t="inlineStr">
        <is>
          <t>water-d2</t>
        </is>
      </c>
      <c r="C43" s="6" t="inlineStr">
        <is>
          <t>Not found</t>
        </is>
      </c>
      <c r="D43" s="6" t="n">
        <v>-8.390000000000001</v>
      </c>
      <c r="E43" s="6" t="n">
        <v>0.47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poly(ethylene oxide)</t>
        </is>
      </c>
      <c r="B44" s="5" t="inlineStr">
        <is>
          <t>water-d2</t>
        </is>
      </c>
      <c r="C44" s="6" t="n"/>
      <c r="D44" s="6" t="n">
        <v>-8.23</v>
      </c>
      <c r="E44" s="6" t="n">
        <v>0.49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poly(ethylene oxide)</t>
        </is>
      </c>
      <c r="B45" s="5" t="inlineStr">
        <is>
          <t>water-d2</t>
        </is>
      </c>
      <c r="C45" s="6" t="n"/>
      <c r="D45" s="6" t="n">
        <v>-8.327</v>
      </c>
      <c r="E45" s="6" t="n">
        <v>0.4466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poly(ethylene oxide)</t>
        </is>
      </c>
      <c r="B46" s="5" t="inlineStr">
        <is>
          <t>water-d2</t>
        </is>
      </c>
      <c r="C46" s="6" t="n"/>
      <c r="D46" s="6" t="n">
        <v>-8.101177771017927</v>
      </c>
      <c r="E46" s="6" t="n">
        <v>0.512155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poly(ethylene oxide)</t>
        </is>
      </c>
      <c r="B47" s="5" t="inlineStr">
        <is>
          <t>water-d2</t>
        </is>
      </c>
      <c r="C47" s="6" t="n"/>
      <c r="D47" s="6" t="n">
        <v>-7.877194537152556</v>
      </c>
      <c r="E47" s="6" t="n">
        <v>0.5723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poly(ethylene oxide)</t>
        </is>
      </c>
      <c r="B48" s="5" t="inlineStr">
        <is>
          <t>water-d2</t>
        </is>
      </c>
      <c r="C48" s="6" t="n"/>
      <c r="D48" s="6" t="n">
        <v>-7.877194537152556</v>
      </c>
      <c r="E48" s="6" t="n">
        <v>0.5723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poly(ethylene oxide)</t>
        </is>
      </c>
      <c r="B49" s="5" t="inlineStr">
        <is>
          <t>water-d2</t>
        </is>
      </c>
      <c r="C49" s="6" t="n"/>
      <c r="D49" s="6" t="n">
        <v>-7.842301520724484</v>
      </c>
      <c r="E49" s="6" t="n">
        <v>0.55987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poly(ethylene oxide)</t>
        </is>
      </c>
      <c r="B50" s="5" t="inlineStr">
        <is>
          <t>water-d2</t>
        </is>
      </c>
      <c r="C50" s="6" t="n"/>
      <c r="D50" s="6" t="n">
        <v>-7.717785866937665</v>
      </c>
      <c r="E50" s="6" t="n">
        <v>0.5633899999999999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poly(ethylene oxide)</t>
        </is>
      </c>
      <c r="B51" s="5" t="inlineStr">
        <is>
          <t>water-d2</t>
        </is>
      </c>
      <c r="C51" s="6" t="n"/>
      <c r="D51" s="6" t="n">
        <v>-7.625031813700766</v>
      </c>
      <c r="E51" s="6" t="n">
        <v>0.55747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poly(ethylene oxide)</t>
        </is>
      </c>
      <c r="B52" s="5" t="inlineStr">
        <is>
          <t>water-d2</t>
        </is>
      </c>
      <c r="C52" s="6" t="n"/>
      <c r="D52" s="6" t="n">
        <v>-7.556330296503602</v>
      </c>
      <c r="E52" s="6" t="n">
        <v>0.55169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poly(methyl methacrylate)</t>
        </is>
      </c>
      <c r="B53" s="5" t="inlineStr">
        <is>
          <t>acetone-d6</t>
        </is>
      </c>
      <c r="C53" s="6" t="n"/>
      <c r="D53" s="6" t="n">
        <v>-7.74</v>
      </c>
      <c r="E53" s="6" t="n">
        <v>0.44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poly(methyl methacrylate)</t>
        </is>
      </c>
      <c r="B54" s="5" t="inlineStr">
        <is>
          <t>benzene-d6</t>
        </is>
      </c>
      <c r="C54" s="6" t="n"/>
      <c r="D54" s="6" t="n">
        <v>-7.91</v>
      </c>
      <c r="E54" s="6" t="n">
        <v>0.48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  <row r="55">
      <c r="A55" s="5" t="inlineStr">
        <is>
          <t>poly(methyl methacrylate)</t>
        </is>
      </c>
      <c r="B55" s="5" t="inlineStr">
        <is>
          <t>benzene-d6</t>
        </is>
      </c>
      <c r="C55" s="6" t="n"/>
      <c r="D55" s="6" t="n">
        <v>-7.683956229316216</v>
      </c>
      <c r="E55" s="6" t="n">
        <v>0.530394</v>
      </c>
      <c r="F55" s="6">
        <f>IF(AND(OR($C$3="All", $C$3="", A55=$C$3), OR($C$4="All", $C$4="", B55=$C$4)), D55-E55*3, NA())</f>
        <v/>
      </c>
      <c r="G55" s="6">
        <f>IF(AND(OR($C$3="All", $C$3="", A55=$C$3), OR($C$4="All", $C$4="", B55=$C$4)), D55-E55*6, NA())</f>
        <v/>
      </c>
    </row>
    <row r="56">
      <c r="A56" s="5" t="inlineStr">
        <is>
          <t>poly(methyl methacrylate)</t>
        </is>
      </c>
      <c r="B56" s="5" t="inlineStr">
        <is>
          <t>benzene-d6</t>
        </is>
      </c>
      <c r="C56" s="6" t="n"/>
      <c r="D56" s="6" t="n">
        <v>-7.528356300958614</v>
      </c>
      <c r="E56" s="6" t="n">
        <v>0.56913</v>
      </c>
      <c r="F56" s="6">
        <f>IF(AND(OR($C$3="All", $C$3="", A56=$C$3), OR($C$4="All", $C$4="", B56=$C$4)), D56-E56*3, NA())</f>
        <v/>
      </c>
      <c r="G56" s="6">
        <f>IF(AND(OR($C$3="All", $C$3="", A56=$C$3), OR($C$4="All", $C$4="", B56=$C$4)), D56-E56*6, NA())</f>
        <v/>
      </c>
    </row>
    <row r="57">
      <c r="A57" s="5" t="inlineStr">
        <is>
          <t>poly(methyl methacrylate)</t>
        </is>
      </c>
      <c r="B57" s="5" t="inlineStr">
        <is>
          <t>benzene-d6</t>
        </is>
      </c>
      <c r="C57" s="6" t="n"/>
      <c r="D57" s="6" t="n">
        <v>-7.696566333993796</v>
      </c>
      <c r="E57" s="6" t="n">
        <v>0.52734</v>
      </c>
      <c r="F57" s="6">
        <f>IF(AND(OR($C$3="All", $C$3="", A57=$C$3), OR($C$4="All", $C$4="", B57=$C$4)), D57-E57*3, NA())</f>
        <v/>
      </c>
      <c r="G57" s="6">
        <f>IF(AND(OR($C$3="All", $C$3="", A57=$C$3), OR($C$4="All", $C$4="", B57=$C$4)), D57-E57*6, NA())</f>
        <v/>
      </c>
    </row>
    <row r="58">
      <c r="A58" s="5" t="inlineStr">
        <is>
          <t>poly(methyl methacrylate)</t>
        </is>
      </c>
      <c r="B58" s="5" t="inlineStr">
        <is>
          <t>benzene-d6</t>
        </is>
      </c>
      <c r="C58" s="6" t="n"/>
      <c r="D58" s="6" t="n">
        <v>-7.623331814189471</v>
      </c>
      <c r="E58" s="6" t="n">
        <v>0.52996</v>
      </c>
      <c r="F58" s="6">
        <f>IF(AND(OR($C$3="All", $C$3="", A58=$C$3), OR($C$4="All", $C$4="", B58=$C$4)), D58-E58*3, NA())</f>
        <v/>
      </c>
      <c r="G58" s="6">
        <f>IF(AND(OR($C$3="All", $C$3="", A58=$C$3), OR($C$4="All", $C$4="", B58=$C$4)), D58-E58*6, NA())</f>
        <v/>
      </c>
    </row>
    <row r="59">
      <c r="A59" s="5" t="inlineStr">
        <is>
          <t>poly(methyl methacrylate)</t>
        </is>
      </c>
      <c r="B59" s="5" t="inlineStr">
        <is>
          <t>benzene-d6</t>
        </is>
      </c>
      <c r="C59" s="6" t="n"/>
      <c r="D59" s="6" t="n">
        <v>-7.58838029403677</v>
      </c>
      <c r="E59" s="6" t="n">
        <v>0.52552</v>
      </c>
      <c r="F59" s="6">
        <f>IF(AND(OR($C$3="All", $C$3="", A59=$C$3), OR($C$4="All", $C$4="", B59=$C$4)), D59-E59*3, NA())</f>
        <v/>
      </c>
      <c r="G59" s="6">
        <f>IF(AND(OR($C$3="All", $C$3="", A59=$C$3), OR($C$4="All", $C$4="", B59=$C$4)), D59-E59*6, NA())</f>
        <v/>
      </c>
    </row>
    <row r="60">
      <c r="A60" s="5" t="inlineStr">
        <is>
          <t>poly(methyl methacrylate)</t>
        </is>
      </c>
      <c r="B60" s="5" t="inlineStr">
        <is>
          <t>benzene-d6</t>
        </is>
      </c>
      <c r="C60" s="6" t="n"/>
      <c r="D60" s="6" t="n">
        <v>-7.512607063941288</v>
      </c>
      <c r="E60" s="6" t="n">
        <v>0.53221</v>
      </c>
      <c r="F60" s="6">
        <f>IF(AND(OR($C$3="All", $C$3="", A60=$C$3), OR($C$4="All", $C$4="", B60=$C$4)), D60-E60*3, NA())</f>
        <v/>
      </c>
      <c r="G60" s="6">
        <f>IF(AND(OR($C$3="All", $C$3="", A60=$C$3), OR($C$4="All", $C$4="", B60=$C$4)), D60-E60*6, NA())</f>
        <v/>
      </c>
    </row>
    <row r="61">
      <c r="A61" s="5" t="inlineStr">
        <is>
          <t>poly(methyl methacrylate)</t>
        </is>
      </c>
      <c r="B61" s="5" t="inlineStr">
        <is>
          <t>benzene-d6</t>
        </is>
      </c>
      <c r="C61" s="6" t="n"/>
      <c r="D61" s="6" t="n">
        <v>-7.534364379446671</v>
      </c>
      <c r="E61" s="6" t="n">
        <v>0.51415</v>
      </c>
      <c r="F61" s="6">
        <f>IF(AND(OR($C$3="All", $C$3="", A61=$C$3), OR($C$4="All", $C$4="", B61=$C$4)), D61-E61*3, NA())</f>
        <v/>
      </c>
      <c r="G61" s="6">
        <f>IF(AND(OR($C$3="All", $C$3="", A61=$C$3), OR($C$4="All", $C$4="", B61=$C$4)), D61-E61*6, NA())</f>
        <v/>
      </c>
    </row>
    <row r="62">
      <c r="A62" s="5" t="inlineStr">
        <is>
          <t>poly(methyl methacrylate)</t>
        </is>
      </c>
      <c r="B62" s="5" t="inlineStr">
        <is>
          <t>benzene-d6</t>
        </is>
      </c>
      <c r="C62" s="6" t="n"/>
      <c r="D62" s="6" t="n">
        <v>-7.486103513077076</v>
      </c>
      <c r="E62" s="6" t="n">
        <v>0.51461</v>
      </c>
      <c r="F62" s="6">
        <f>IF(AND(OR($C$3="All", $C$3="", A62=$C$3), OR($C$4="All", $C$4="", B62=$C$4)), D62-E62*3, NA())</f>
        <v/>
      </c>
      <c r="G62" s="6">
        <f>IF(AND(OR($C$3="All", $C$3="", A62=$C$3), OR($C$4="All", $C$4="", B62=$C$4)), D62-E62*6, NA())</f>
        <v/>
      </c>
    </row>
    <row r="63">
      <c r="A63" s="5" t="inlineStr">
        <is>
          <t>poly(methyl methacrylate)</t>
        </is>
      </c>
      <c r="B63" s="5" t="inlineStr">
        <is>
          <t>chloroform-d</t>
        </is>
      </c>
      <c r="C63" s="6" t="inlineStr">
        <is>
          <t>Not found</t>
        </is>
      </c>
      <c r="D63" s="6" t="n">
        <v>-7.53</v>
      </c>
      <c r="E63" s="6" t="n">
        <v>0.5600000000000001</v>
      </c>
      <c r="F63" s="6">
        <f>IF(AND(OR($C$3="All", $C$3="", A63=$C$3), OR($C$4="All", $C$4="", B63=$C$4)), D63-E63*3, NA())</f>
        <v/>
      </c>
      <c r="G63" s="6">
        <f>IF(AND(OR($C$3="All", $C$3="", A63=$C$3), OR($C$4="All", $C$4="", B63=$C$4)), D63-E63*6, NA())</f>
        <v/>
      </c>
    </row>
    <row r="64">
      <c r="A64" s="5" t="inlineStr">
        <is>
          <t>poly(methyl methacrylate)</t>
        </is>
      </c>
      <c r="B64" s="5" t="inlineStr">
        <is>
          <t>chloroform-d</t>
        </is>
      </c>
      <c r="C64" s="6" t="n"/>
      <c r="D64" s="6" t="n">
        <v>-7.579851091223765</v>
      </c>
      <c r="E64" s="6" t="n">
        <v>0.543219</v>
      </c>
      <c r="F64" s="6">
        <f>IF(AND(OR($C$3="All", $C$3="", A64=$C$3), OR($C$4="All", $C$4="", B64=$C$4)), D64-E64*3, NA())</f>
        <v/>
      </c>
      <c r="G64" s="6">
        <f>IF(AND(OR($C$3="All", $C$3="", A64=$C$3), OR($C$4="All", $C$4="", B64=$C$4)), D64-E64*6, NA())</f>
        <v/>
      </c>
    </row>
    <row r="65">
      <c r="A65" s="5" t="inlineStr">
        <is>
          <t>poly(methyl methacrylate)</t>
        </is>
      </c>
      <c r="B65" s="5" t="inlineStr">
        <is>
          <t>chloroform-d</t>
        </is>
      </c>
      <c r="C65" s="6" t="n"/>
      <c r="D65" s="6" t="n">
        <v>-7.416619835412931</v>
      </c>
      <c r="E65" s="6" t="n">
        <v>0.58372</v>
      </c>
      <c r="F65" s="6">
        <f>IF(AND(OR($C$3="All", $C$3="", A65=$C$3), OR($C$4="All", $C$4="", B65=$C$4)), D65-E65*3, NA())</f>
        <v/>
      </c>
      <c r="G65" s="6">
        <f>IF(AND(OR($C$3="All", $C$3="", A65=$C$3), OR($C$4="All", $C$4="", B65=$C$4)), D65-E65*6, NA())</f>
        <v/>
      </c>
    </row>
    <row r="66">
      <c r="A66" s="5" t="inlineStr">
        <is>
          <t>poly(methyl methacrylate)</t>
        </is>
      </c>
      <c r="B66" s="5" t="inlineStr">
        <is>
          <t>dichloromethane-d2</t>
        </is>
      </c>
      <c r="C66" s="6" t="n"/>
      <c r="D66" s="6" t="n">
        <v>-7.48967889681907</v>
      </c>
      <c r="E66" s="6" t="n">
        <v>0.53678</v>
      </c>
      <c r="F66" s="6">
        <f>IF(AND(OR($C$3="All", $C$3="", A66=$C$3), OR($C$4="All", $C$4="", B66=$C$4)), D66-E66*3, NA())</f>
        <v/>
      </c>
      <c r="G66" s="6">
        <f>IF(AND(OR($C$3="All", $C$3="", A66=$C$3), OR($C$4="All", $C$4="", B66=$C$4)), D66-E66*6, NA())</f>
        <v/>
      </c>
    </row>
    <row r="67">
      <c r="A67" s="5" t="inlineStr">
        <is>
          <t>poly(methyl methacrylate)</t>
        </is>
      </c>
      <c r="B67" s="5" t="inlineStr">
        <is>
          <t>dichloromethane-d2</t>
        </is>
      </c>
      <c r="C67" s="6" t="n"/>
      <c r="D67" s="6" t="n">
        <v>-7.285687008705199</v>
      </c>
      <c r="E67" s="6" t="n">
        <v>0.58736</v>
      </c>
      <c r="F67" s="6">
        <f>IF(AND(OR($C$3="All", $C$3="", A67=$C$3), OR($C$4="All", $C$4="", B67=$C$4)), D67-E67*3, NA())</f>
        <v/>
      </c>
      <c r="G67" s="6">
        <f>IF(AND(OR($C$3="All", $C$3="", A67=$C$3), OR($C$4="All", $C$4="", B67=$C$4)), D67-E67*6, NA())</f>
        <v/>
      </c>
    </row>
    <row r="68">
      <c r="A68" s="5" t="inlineStr">
        <is>
          <t>poly(methyl methacrylate)</t>
        </is>
      </c>
      <c r="B68" s="5" t="inlineStr">
        <is>
          <t>dimethyl sulfoxide-d6</t>
        </is>
      </c>
      <c r="C68" s="6" t="n"/>
      <c r="D68" s="6" t="n">
        <v>-8.505773029599105</v>
      </c>
      <c r="E68" s="6" t="n">
        <v>0.444236</v>
      </c>
      <c r="F68" s="6">
        <f>IF(AND(OR($C$3="All", $C$3="", A68=$C$3), OR($C$4="All", $C$4="", B68=$C$4)), D68-E68*3, NA())</f>
        <v/>
      </c>
      <c r="G68" s="6">
        <f>IF(AND(OR($C$3="All", $C$3="", A68=$C$3), OR($C$4="All", $C$4="", B68=$C$4)), D68-E68*6, NA())</f>
        <v/>
      </c>
    </row>
    <row r="69">
      <c r="A69" s="5" t="inlineStr">
        <is>
          <t>poly(methyl methacrylate)</t>
        </is>
      </c>
      <c r="B69" s="5" t="inlineStr">
        <is>
          <t>dimethyl sulfoxide-d6</t>
        </is>
      </c>
      <c r="C69" s="6" t="n"/>
      <c r="D69" s="6" t="n">
        <v>-8.505775813083098</v>
      </c>
      <c r="E69" s="6" t="n">
        <v>0.44424</v>
      </c>
      <c r="F69" s="6">
        <f>IF(AND(OR($C$3="All", $C$3="", A69=$C$3), OR($C$4="All", $C$4="", B69=$C$4)), D69-E69*3, NA())</f>
        <v/>
      </c>
      <c r="G69" s="6">
        <f>IF(AND(OR($C$3="All", $C$3="", A69=$C$3), OR($C$4="All", $C$4="", B69=$C$4)), D69-E69*6, NA())</f>
        <v/>
      </c>
    </row>
    <row r="70">
      <c r="A70" s="5" t="inlineStr">
        <is>
          <t>poly(methyl methacrylate)</t>
        </is>
      </c>
      <c r="B70" s="5" t="inlineStr">
        <is>
          <t>tetrahydrofuran-d8</t>
        </is>
      </c>
      <c r="C70" s="6" t="n"/>
      <c r="D70" s="6" t="n">
        <v>-8.02</v>
      </c>
      <c r="E70" s="6" t="n">
        <v>0.43</v>
      </c>
      <c r="F70" s="6">
        <f>IF(AND(OR($C$3="All", $C$3="", A70=$C$3), OR($C$4="All", $C$4="", B70=$C$4)), D70-E70*3, NA())</f>
        <v/>
      </c>
      <c r="G70" s="6">
        <f>IF(AND(OR($C$3="All", $C$3="", A70=$C$3), OR($C$4="All", $C$4="", B70=$C$4)), D70-E70*6, NA())</f>
        <v/>
      </c>
    </row>
    <row r="71">
      <c r="A71" s="5" t="inlineStr">
        <is>
          <t>poly(methyl methacrylate)</t>
        </is>
      </c>
      <c r="B71" s="5" t="inlineStr">
        <is>
          <t>tetrahydrofuran-d8</t>
        </is>
      </c>
      <c r="C71" s="6" t="n"/>
      <c r="D71" s="6" t="n">
        <v>-7.61465473895388</v>
      </c>
      <c r="E71" s="6" t="n">
        <v>0.517608</v>
      </c>
      <c r="F71" s="6">
        <f>IF(AND(OR($C$3="All", $C$3="", A71=$C$3), OR($C$4="All", $C$4="", B71=$C$4)), D71-E71*3, NA())</f>
        <v/>
      </c>
      <c r="G71" s="6">
        <f>IF(AND(OR($C$3="All", $C$3="", A71=$C$3), OR($C$4="All", $C$4="", B71=$C$4)), D71-E71*6, NA())</f>
        <v/>
      </c>
    </row>
    <row r="72">
      <c r="A72" s="5" t="inlineStr">
        <is>
          <t>poly(methyl methacrylate)</t>
        </is>
      </c>
      <c r="B72" s="5" t="inlineStr">
        <is>
          <t>tetrahydrofuran-d8</t>
        </is>
      </c>
      <c r="C72" s="6" t="n"/>
      <c r="D72" s="6" t="n">
        <v>-7.434234799547848</v>
      </c>
      <c r="E72" s="6" t="n">
        <v>0.5624</v>
      </c>
      <c r="F72" s="6">
        <f>IF(AND(OR($C$3="All", $C$3="", A72=$C$3), OR($C$4="All", $C$4="", B72=$C$4)), D72-E72*3, NA())</f>
        <v/>
      </c>
      <c r="G72" s="6">
        <f>IF(AND(OR($C$3="All", $C$3="", A72=$C$3), OR($C$4="All", $C$4="", B72=$C$4)), D72-E72*6, NA())</f>
        <v/>
      </c>
    </row>
    <row r="73">
      <c r="A73" s="5" t="inlineStr">
        <is>
          <t>poly(methyl methacrylate)</t>
        </is>
      </c>
      <c r="B73" s="5" t="inlineStr">
        <is>
          <t>toluene-d8</t>
        </is>
      </c>
      <c r="C73" s="6" t="inlineStr">
        <is>
          <t>Not found</t>
        </is>
      </c>
      <c r="D73" s="6" t="n">
        <v>-7.72</v>
      </c>
      <c r="E73" s="6" t="n">
        <v>0.5</v>
      </c>
      <c r="F73" s="6">
        <f>IF(AND(OR($C$3="All", $C$3="", A73=$C$3), OR($C$4="All", $C$4="", B73=$C$4)), D73-E73*3, NA())</f>
        <v/>
      </c>
      <c r="G73" s="6">
        <f>IF(AND(OR($C$3="All", $C$3="", A73=$C$3), OR($C$4="All", $C$4="", B73=$C$4)), D73-E73*6, NA())</f>
        <v/>
      </c>
    </row>
    <row r="74">
      <c r="A74" s="5" t="inlineStr">
        <is>
          <t>poly(methyl methacrylate)</t>
        </is>
      </c>
      <c r="B74" s="5" t="inlineStr">
        <is>
          <t>toluene-d8</t>
        </is>
      </c>
      <c r="C74" s="6" t="n"/>
      <c r="D74" s="6" t="n">
        <v>-8.109999999999999</v>
      </c>
      <c r="E74" s="6" t="n">
        <v>0.43</v>
      </c>
      <c r="F74" s="6">
        <f>IF(AND(OR($C$3="All", $C$3="", A74=$C$3), OR($C$4="All", $C$4="", B74=$C$4)), D74-E74*3, NA())</f>
        <v/>
      </c>
      <c r="G74" s="6">
        <f>IF(AND(OR($C$3="All", $C$3="", A74=$C$3), OR($C$4="All", $C$4="", B74=$C$4)), D74-E74*6, NA())</f>
        <v/>
      </c>
    </row>
    <row r="75">
      <c r="A75" s="5" t="inlineStr">
        <is>
          <t>polyimide</t>
        </is>
      </c>
      <c r="B75" s="5" t="inlineStr">
        <is>
          <t>benzene-d6</t>
        </is>
      </c>
      <c r="C75" s="6" t="n"/>
      <c r="D75" s="6" t="n">
        <v>-7.388584736177106</v>
      </c>
      <c r="E75" s="6" t="n">
        <v>0.61614</v>
      </c>
      <c r="F75" s="6">
        <f>IF(AND(OR($C$3="All", $C$3="", A75=$C$3), OR($C$4="All", $C$4="", B75=$C$4)), D75-E75*3, NA())</f>
        <v/>
      </c>
      <c r="G75" s="6">
        <f>IF(AND(OR($C$3="All", $C$3="", A75=$C$3), OR($C$4="All", $C$4="", B75=$C$4)), D75-E75*6, NA())</f>
        <v/>
      </c>
    </row>
    <row r="76">
      <c r="A76" s="5" t="inlineStr">
        <is>
          <t>polyimide</t>
        </is>
      </c>
      <c r="B76" s="5" t="inlineStr">
        <is>
          <t>chloroform-d</t>
        </is>
      </c>
      <c r="C76" s="6" t="n"/>
      <c r="D76" s="6" t="n">
        <v>-7.298285260295005</v>
      </c>
      <c r="E76" s="6" t="n">
        <v>0.62721</v>
      </c>
      <c r="F76" s="6">
        <f>IF(AND(OR($C$3="All", $C$3="", A76=$C$3), OR($C$4="All", $C$4="", B76=$C$4)), D76-E76*3, NA())</f>
        <v/>
      </c>
      <c r="G76" s="6">
        <f>IF(AND(OR($C$3="All", $C$3="", A76=$C$3), OR($C$4="All", $C$4="", B76=$C$4)), D76-E76*6, NA())</f>
        <v/>
      </c>
    </row>
    <row r="77">
      <c r="A77" s="5" t="inlineStr">
        <is>
          <t>polyimide</t>
        </is>
      </c>
      <c r="B77" s="5" t="inlineStr">
        <is>
          <t>dichloromethane-d2</t>
        </is>
      </c>
      <c r="C77" s="6" t="n"/>
      <c r="D77" s="6" t="n">
        <v>-7.380124391499957</v>
      </c>
      <c r="E77" s="6" t="n">
        <v>0.57317</v>
      </c>
      <c r="F77" s="6">
        <f>IF(AND(OR($C$3="All", $C$3="", A77=$C$3), OR($C$4="All", $C$4="", B77=$C$4)), D77-E77*3, NA())</f>
        <v/>
      </c>
      <c r="G77" s="6">
        <f>IF(AND(OR($C$3="All", $C$3="", A77=$C$3), OR($C$4="All", $C$4="", B77=$C$4)), D77-E77*6, NA())</f>
        <v/>
      </c>
    </row>
    <row r="78">
      <c r="A78" s="5" t="inlineStr">
        <is>
          <t>polyimide</t>
        </is>
      </c>
      <c r="B78" s="5" t="inlineStr">
        <is>
          <t>tetrahydrofuran-d8</t>
        </is>
      </c>
      <c r="C78" s="6" t="n"/>
      <c r="D78" s="6" t="n">
        <v>-7.330497165895657</v>
      </c>
      <c r="E78" s="6" t="n">
        <v>0.60811</v>
      </c>
      <c r="F78" s="6">
        <f>IF(AND(OR($C$3="All", $C$3="", A78=$C$3), OR($C$4="All", $C$4="", B78=$C$4)), D78-E78*3, NA())</f>
        <v/>
      </c>
      <c r="G78" s="6">
        <f>IF(AND(OR($C$3="All", $C$3="", A78=$C$3), OR($C$4="All", $C$4="", B78=$C$4)), D78-E78*6, NA())</f>
        <v/>
      </c>
    </row>
    <row r="79">
      <c r="A79" s="5" t="inlineStr">
        <is>
          <t>polystyrene</t>
        </is>
      </c>
      <c r="B79" s="5" t="inlineStr">
        <is>
          <t>acetone-d6</t>
        </is>
      </c>
      <c r="C79" s="6" t="n"/>
      <c r="D79" s="6" t="n">
        <v>-7.679147780168245</v>
      </c>
      <c r="E79" s="6" t="n">
        <v>0.452089</v>
      </c>
      <c r="F79" s="6">
        <f>IF(AND(OR($C$3="All", $C$3="", A79=$C$3), OR($C$4="All", $C$4="", B79=$C$4)), D79-E79*3, NA())</f>
        <v/>
      </c>
      <c r="G79" s="6">
        <f>IF(AND(OR($C$3="All", $C$3="", A79=$C$3), OR($C$4="All", $C$4="", B79=$C$4)), D79-E79*6, NA())</f>
        <v/>
      </c>
    </row>
    <row r="80">
      <c r="A80" s="5" t="inlineStr">
        <is>
          <t>polystyrene</t>
        </is>
      </c>
      <c r="B80" s="5" t="inlineStr">
        <is>
          <t>acetone-d6</t>
        </is>
      </c>
      <c r="C80" s="6" t="n"/>
      <c r="D80" s="6" t="n">
        <v>-7.679147780168245</v>
      </c>
      <c r="E80" s="6" t="n">
        <v>0.45209</v>
      </c>
      <c r="F80" s="6">
        <f>IF(AND(OR($C$3="All", $C$3="", A80=$C$3), OR($C$4="All", $C$4="", B80=$C$4)), D80-E80*3, NA())</f>
        <v/>
      </c>
      <c r="G80" s="6">
        <f>IF(AND(OR($C$3="All", $C$3="", A80=$C$3), OR($C$4="All", $C$4="", B80=$C$4)), D80-E80*6, NA())</f>
        <v/>
      </c>
    </row>
    <row r="81">
      <c r="A81" s="5" t="inlineStr">
        <is>
          <t>polystyrene</t>
        </is>
      </c>
      <c r="B81" s="5" t="inlineStr">
        <is>
          <t>benzene-d6</t>
        </is>
      </c>
      <c r="C81" s="6" t="inlineStr">
        <is>
          <t>Not found</t>
        </is>
      </c>
      <c r="D81" s="6" t="n">
        <v>-7.7</v>
      </c>
      <c r="E81" s="6" t="n">
        <v>0.54</v>
      </c>
      <c r="F81" s="6">
        <f>IF(AND(OR($C$3="All", $C$3="", A81=$C$3), OR($C$4="All", $C$4="", B81=$C$4)), D81-E81*3, NA())</f>
        <v/>
      </c>
      <c r="G81" s="6">
        <f>IF(AND(OR($C$3="All", $C$3="", A81=$C$3), OR($C$4="All", $C$4="", B81=$C$4)), D81-E81*6, NA())</f>
        <v/>
      </c>
    </row>
    <row r="82">
      <c r="A82" s="5" t="inlineStr">
        <is>
          <t>polystyrene</t>
        </is>
      </c>
      <c r="B82" s="5" t="inlineStr">
        <is>
          <t>benzene-d6</t>
        </is>
      </c>
      <c r="C82" s="6" t="n"/>
      <c r="D82" s="6" t="n">
        <v>-7.94</v>
      </c>
      <c r="E82" s="6" t="n">
        <v>0.49</v>
      </c>
      <c r="F82" s="6">
        <f>IF(AND(OR($C$3="All", $C$3="", A82=$C$3), OR($C$4="All", $C$4="", B82=$C$4)), D82-E82*3, NA())</f>
        <v/>
      </c>
      <c r="G82" s="6">
        <f>IF(AND(OR($C$3="All", $C$3="", A82=$C$3), OR($C$4="All", $C$4="", B82=$C$4)), D82-E82*6, NA())</f>
        <v/>
      </c>
    </row>
    <row r="83">
      <c r="A83" s="5" t="inlineStr">
        <is>
          <t>polystyrene</t>
        </is>
      </c>
      <c r="B83" s="5" t="inlineStr">
        <is>
          <t>benzene-d6</t>
        </is>
      </c>
      <c r="C83" s="6" t="n"/>
      <c r="D83" s="6" t="n">
        <v>-7.718505297869414</v>
      </c>
      <c r="E83" s="6" t="n">
        <v>0.5283</v>
      </c>
      <c r="F83" s="6">
        <f>IF(AND(OR($C$3="All", $C$3="", A83=$C$3), OR($C$4="All", $C$4="", B83=$C$4)), D83-E83*3, NA())</f>
        <v/>
      </c>
      <c r="G83" s="6">
        <f>IF(AND(OR($C$3="All", $C$3="", A83=$C$3), OR($C$4="All", $C$4="", B83=$C$4)), D83-E83*6, NA())</f>
        <v/>
      </c>
    </row>
    <row r="84">
      <c r="A84" s="5" t="inlineStr">
        <is>
          <t>polystyrene</t>
        </is>
      </c>
      <c r="B84" s="5" t="inlineStr">
        <is>
          <t>benzene-d6</t>
        </is>
      </c>
      <c r="C84" s="6" t="n"/>
      <c r="D84" s="6" t="n">
        <v>-7.594397544790686</v>
      </c>
      <c r="E84" s="6" t="n">
        <v>0.56041</v>
      </c>
      <c r="F84" s="6">
        <f>IF(AND(OR($C$3="All", $C$3="", A84=$C$3), OR($C$4="All", $C$4="", B84=$C$4)), D84-E84*3, NA())</f>
        <v/>
      </c>
      <c r="G84" s="6">
        <f>IF(AND(OR($C$3="All", $C$3="", A84=$C$3), OR($C$4="All", $C$4="", B84=$C$4)), D84-E84*6, NA())</f>
        <v/>
      </c>
    </row>
    <row r="85">
      <c r="A85" s="5" t="inlineStr">
        <is>
          <t>polystyrene</t>
        </is>
      </c>
      <c r="B85" s="5" t="inlineStr">
        <is>
          <t>chloroform-d</t>
        </is>
      </c>
      <c r="C85" s="6" t="n"/>
      <c r="D85" s="6" t="n">
        <v>-7.97</v>
      </c>
      <c r="E85" s="6" t="n">
        <v>0.46</v>
      </c>
      <c r="F85" s="6">
        <f>IF(AND(OR($C$3="All", $C$3="", A85=$C$3), OR($C$4="All", $C$4="", B85=$C$4)), D85-E85*3, NA())</f>
        <v/>
      </c>
      <c r="G85" s="6">
        <f>IF(AND(OR($C$3="All", $C$3="", A85=$C$3), OR($C$4="All", $C$4="", B85=$C$4)), D85-E85*6, NA())</f>
        <v/>
      </c>
    </row>
    <row r="86">
      <c r="A86" s="5" t="inlineStr">
        <is>
          <t>polystyrene</t>
        </is>
      </c>
      <c r="B86" s="5" t="inlineStr">
        <is>
          <t>chloroform-d</t>
        </is>
      </c>
      <c r="C86" s="6" t="n"/>
      <c r="D86" s="6" t="n">
        <v>-7.630222150689829</v>
      </c>
      <c r="E86" s="6" t="n">
        <v>0.534677</v>
      </c>
      <c r="F86" s="6">
        <f>IF(AND(OR($C$3="All", $C$3="", A86=$C$3), OR($C$4="All", $C$4="", B86=$C$4)), D86-E86*3, NA())</f>
        <v/>
      </c>
      <c r="G86" s="6">
        <f>IF(AND(OR($C$3="All", $C$3="", A86=$C$3), OR($C$4="All", $C$4="", B86=$C$4)), D86-E86*6, NA())</f>
        <v/>
      </c>
    </row>
    <row r="87">
      <c r="A87" s="5" t="inlineStr">
        <is>
          <t>polystyrene</t>
        </is>
      </c>
      <c r="B87" s="5" t="inlineStr">
        <is>
          <t>chloroform-d</t>
        </is>
      </c>
      <c r="C87" s="6" t="n"/>
      <c r="D87" s="6" t="n">
        <v>-7.523371224817643</v>
      </c>
      <c r="E87" s="6" t="n">
        <v>0.5623899999999999</v>
      </c>
      <c r="F87" s="6">
        <f>IF(AND(OR($C$3="All", $C$3="", A87=$C$3), OR($C$4="All", $C$4="", B87=$C$4)), D87-E87*3, NA())</f>
        <v/>
      </c>
      <c r="G87" s="6">
        <f>IF(AND(OR($C$3="All", $C$3="", A87=$C$3), OR($C$4="All", $C$4="", B87=$C$4)), D87-E87*6, NA())</f>
        <v/>
      </c>
    </row>
    <row r="88">
      <c r="A88" s="5" t="inlineStr">
        <is>
          <t>polystyrene</t>
        </is>
      </c>
      <c r="B88" s="5" t="inlineStr">
        <is>
          <t>dichloromethane-d2</t>
        </is>
      </c>
      <c r="C88" s="6" t="n"/>
      <c r="D88" s="6" t="n">
        <v>-7.56166654250548</v>
      </c>
      <c r="E88" s="6" t="n">
        <v>0.5214530000000001</v>
      </c>
      <c r="F88" s="6">
        <f>IF(AND(OR($C$3="All", $C$3="", A88=$C$3), OR($C$4="All", $C$4="", B88=$C$4)), D88-E88*3, NA())</f>
        <v/>
      </c>
      <c r="G88" s="6">
        <f>IF(AND(OR($C$3="All", $C$3="", A88=$C$3), OR($C$4="All", $C$4="", B88=$C$4)), D88-E88*6, NA())</f>
        <v/>
      </c>
    </row>
    <row r="89">
      <c r="A89" s="5" t="inlineStr">
        <is>
          <t>polystyrene</t>
        </is>
      </c>
      <c r="B89" s="5" t="inlineStr">
        <is>
          <t>dichloromethane-d2</t>
        </is>
      </c>
      <c r="C89" s="6" t="n"/>
      <c r="D89" s="6" t="n">
        <v>-7.406713932979542</v>
      </c>
      <c r="E89" s="6" t="n">
        <v>0.56162</v>
      </c>
      <c r="F89" s="6">
        <f>IF(AND(OR($C$3="All", $C$3="", A89=$C$3), OR($C$4="All", $C$4="", B89=$C$4)), D89-E89*3, NA())</f>
        <v/>
      </c>
      <c r="G89" s="6">
        <f>IF(AND(OR($C$3="All", $C$3="", A89=$C$3), OR($C$4="All", $C$4="", B89=$C$4)), D89-E89*6, NA())</f>
        <v/>
      </c>
    </row>
    <row r="90">
      <c r="A90" s="5" t="inlineStr">
        <is>
          <t>polystyrene</t>
        </is>
      </c>
      <c r="B90" s="5" t="inlineStr">
        <is>
          <t>tetrahydrofuran-d8</t>
        </is>
      </c>
      <c r="C90" s="6" t="n"/>
      <c r="D90" s="6" t="n">
        <v>-8.07</v>
      </c>
      <c r="E90" s="6" t="n">
        <v>0.42</v>
      </c>
      <c r="F90" s="6">
        <f>IF(AND(OR($C$3="All", $C$3="", A90=$C$3), OR($C$4="All", $C$4="", B90=$C$4)), D90-E90*3, NA())</f>
        <v/>
      </c>
      <c r="G90" s="6">
        <f>IF(AND(OR($C$3="All", $C$3="", A90=$C$3), OR($C$4="All", $C$4="", B90=$C$4)), D90-E90*6, NA())</f>
        <v/>
      </c>
    </row>
    <row r="91">
      <c r="A91" s="5" t="inlineStr">
        <is>
          <t>polystyrene</t>
        </is>
      </c>
      <c r="B91" s="5" t="inlineStr">
        <is>
          <t>tetrahydrofuran-d8</t>
        </is>
      </c>
      <c r="C91" s="6" t="n"/>
      <c r="D91" s="6" t="n">
        <v>-7.655839673984551</v>
      </c>
      <c r="E91" s="6" t="n">
        <v>0.519361</v>
      </c>
      <c r="F91" s="6">
        <f>IF(AND(OR($C$3="All", $C$3="", A91=$C$3), OR($C$4="All", $C$4="", B91=$C$4)), D91-E91*3, NA())</f>
        <v/>
      </c>
      <c r="G91" s="6">
        <f>IF(AND(OR($C$3="All", $C$3="", A91=$C$3), OR($C$4="All", $C$4="", B91=$C$4)), D91-E91*6, NA())</f>
        <v/>
      </c>
    </row>
    <row r="92">
      <c r="A92" s="5" t="inlineStr">
        <is>
          <t>polystyrene</t>
        </is>
      </c>
      <c r="B92" s="5" t="inlineStr">
        <is>
          <t>tetrahydrofuran-d8</t>
        </is>
      </c>
      <c r="C92" s="6" t="n"/>
      <c r="D92" s="6" t="n">
        <v>-7.497627511688311</v>
      </c>
      <c r="E92" s="6" t="n">
        <v>0.5604</v>
      </c>
      <c r="F92" s="6">
        <f>IF(AND(OR($C$3="All", $C$3="", A92=$C$3), OR($C$4="All", $C$4="", B92=$C$4)), D92-E92*3, NA())</f>
        <v/>
      </c>
      <c r="G92" s="6">
        <f>IF(AND(OR($C$3="All", $C$3="", A92=$C$3), OR($C$4="All", $C$4="", B92=$C$4)), D92-E92*6, NA())</f>
        <v/>
      </c>
    </row>
    <row r="93">
      <c r="A93" s="5" t="inlineStr">
        <is>
          <t>polystyrene</t>
        </is>
      </c>
      <c r="B93" s="5" t="inlineStr">
        <is>
          <t>toluene-d8</t>
        </is>
      </c>
      <c r="C93" s="6" t="n"/>
      <c r="D93" s="6" t="n">
        <v>-7.82</v>
      </c>
      <c r="E93" s="6" t="n">
        <v>0.51</v>
      </c>
      <c r="F93" s="6">
        <f>IF(AND(OR($C$3="All", $C$3="", A93=$C$3), OR($C$4="All", $C$4="", B93=$C$4)), D93-E93*3, NA())</f>
        <v/>
      </c>
      <c r="G93" s="6">
        <f>IF(AND(OR($C$3="All", $C$3="", A93=$C$3), OR($C$4="All", $C$4="", B93=$C$4)), D93-E93*6, NA())</f>
        <v/>
      </c>
    </row>
    <row r="94">
      <c r="A94" s="5" t="inlineStr">
        <is>
          <t>polystyrene</t>
        </is>
      </c>
      <c r="B94" s="5" t="inlineStr">
        <is>
          <t>toluene-d8</t>
        </is>
      </c>
      <c r="C94" s="6" t="n"/>
      <c r="D94" s="6" t="n">
        <v>-7.670077622607558</v>
      </c>
      <c r="E94" s="6" t="n">
        <v>0.531065</v>
      </c>
      <c r="F94" s="6">
        <f>IF(AND(OR($C$3="All", $C$3="", A94=$C$3), OR($C$4="All", $C$4="", B94=$C$4)), D94-E94*3, NA())</f>
        <v/>
      </c>
      <c r="G94" s="6">
        <f>IF(AND(OR($C$3="All", $C$3="", A94=$C$3), OR($C$4="All", $C$4="", B94=$C$4)), D94-E94*6, NA())</f>
        <v/>
      </c>
    </row>
    <row r="95">
      <c r="A95" s="5" t="inlineStr">
        <is>
          <t>polystyrene</t>
        </is>
      </c>
      <c r="B95" s="5" t="inlineStr">
        <is>
          <t>toluene-d8</t>
        </is>
      </c>
      <c r="C95" s="6" t="n"/>
      <c r="D95" s="6" t="n">
        <v>-7.670073559204548</v>
      </c>
      <c r="E95" s="6" t="n">
        <v>0.53106</v>
      </c>
      <c r="F95" s="6">
        <f>IF(AND(OR($C$3="All", $C$3="", A95=$C$3), OR($C$4="All", $C$4="", B95=$C$4)), D95-E95*3, NA())</f>
        <v/>
      </c>
      <c r="G95" s="6">
        <f>IF(AND(OR($C$3="All", $C$3="", A95=$C$3), OR($C$4="All", $C$4="", B95=$C$4)), D95-E95*6,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=Polymers!$L$2:$L$11</formula1>
    </dataValidation>
    <dataValidation sqref="C4" showDropDown="0" showInputMessage="0" showErrorMessage="0" allowBlank="1" type="list">
      <formula1>=Polymers!$M$2:$M$13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Range, Polymer Identification Failure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Range, Polymer Identification Failure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Range, Polymer Identification Failure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Range, Polymer Identification Failure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14" t="inlineStr">
        <is>
          <t>Polymer Identification Failure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14" t="inlineStr">
        <is>
          <t>Polymer Identification Failure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72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polymer_name,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polymer_name,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polymer_name,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polymer_name,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4" t="inlineStr">
        <is>
          <t>2014 - Determination of the Average Molecular Weight of Hydroxyethyl Starches by Diffusion Ordered NMR Spectroscopy</t>
        </is>
      </c>
      <c r="B33" s="14" t="inlineStr">
        <is>
          <t>table2</t>
        </is>
      </c>
      <c r="C33" s="14" t="inlineStr">
        <is>
          <t>Flory</t>
        </is>
      </c>
      <c r="D33" s="14" t="inlineStr">
        <is>
          <t>solvent_name, temperature_missing</t>
        </is>
      </c>
      <c r="E33" s="14" t="inlineStr">
        <is>
          <t>Solvent Identification Failure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4" t="inlineStr">
        <is>
          <t>2021 - Solvent‐Independent Molecular Weight Determination of Polymers Based on a Truly  Universal Calibration</t>
        </is>
      </c>
      <c r="B59" s="14" t="inlineStr">
        <is>
          <t>table2</t>
        </is>
      </c>
      <c r="C59" s="14" t="inlineStr">
        <is>
          <t>Flory</t>
        </is>
      </c>
      <c r="D59" s="14" t="inlineStr">
        <is>
          <t>polymer_name, temperature_missing</t>
        </is>
      </c>
      <c r="E59" s="14" t="inlineStr">
        <is>
          <t>Polymer Identification Failure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3" t="inlineStr">
        <is>
          <t>2021 - Solvent‐Independent Molecular Weight Determination of Polymers Based on a Truly  Universal Calibration</t>
        </is>
      </c>
      <c r="B62" s="13" t="inlineStr">
        <is>
          <t>table3</t>
        </is>
      </c>
      <c r="C62" s="13" t="inlineStr">
        <is>
          <t>Flory</t>
        </is>
      </c>
      <c r="D62" s="13" t="inlineStr">
        <is>
          <t>temperature_missing</t>
        </is>
      </c>
      <c r="E62" s="13" t="inlineStr">
        <is>
          <t>Temperature Missing/Invalid</t>
        </is>
      </c>
    </row>
    <row r="63">
      <c r="A63" s="13" t="inlineStr">
        <is>
          <t>2021 - Solvent‐Independent Molecular Weight Determination of Polymers Based on a Truly  Universal Calibration</t>
        </is>
      </c>
      <c r="B63" s="13" t="inlineStr">
        <is>
          <t>table3</t>
        </is>
      </c>
      <c r="C63" s="13" t="inlineStr">
        <is>
          <t>Flory</t>
        </is>
      </c>
      <c r="D63" s="13" t="inlineStr">
        <is>
          <t>temperature_missing</t>
        </is>
      </c>
      <c r="E63" s="13" t="inlineStr">
        <is>
          <t>Temperature Missing/Invalid</t>
        </is>
      </c>
    </row>
    <row r="64">
      <c r="A64" s="13" t="inlineStr">
        <is>
          <t>2021 - Solvent‐Independent Molecular Weight Determination of Polymers Based on a Truly  Universal Calibration</t>
        </is>
      </c>
      <c r="B64" s="13" t="inlineStr">
        <is>
          <t>table3</t>
        </is>
      </c>
      <c r="C64" s="13" t="inlineStr">
        <is>
          <t>Flory</t>
        </is>
      </c>
      <c r="D64" s="13" t="inlineStr">
        <is>
          <t>temperature_missing</t>
        </is>
      </c>
      <c r="E64" s="13" t="inlineStr">
        <is>
          <t>Temperature Missing/Invalid</t>
        </is>
      </c>
    </row>
    <row r="65">
      <c r="A65" s="13" t="inlineStr">
        <is>
          <t>2021 - Solvent‐Independent Molecular Weight Determination of Polymers Based on a Truly  Universal Calibration</t>
        </is>
      </c>
      <c r="B65" s="13" t="inlineStr">
        <is>
          <t>table3</t>
        </is>
      </c>
      <c r="C65" s="13" t="inlineStr">
        <is>
          <t>Flory</t>
        </is>
      </c>
      <c r="D65" s="13" t="inlineStr">
        <is>
          <t>temperature_missing</t>
        </is>
      </c>
      <c r="E65" s="13" t="inlineStr">
        <is>
          <t>Temperature Missing/Invalid</t>
        </is>
      </c>
    </row>
    <row r="66">
      <c r="A66" s="13" t="inlineStr">
        <is>
          <t>2021 - Solvent‐Independent Molecular Weight Determination of Polymers Based on a Truly  Universal Calibration</t>
        </is>
      </c>
      <c r="B66" s="13" t="inlineStr">
        <is>
          <t>table3</t>
        </is>
      </c>
      <c r="C66" s="13" t="inlineStr">
        <is>
          <t>Flory</t>
        </is>
      </c>
      <c r="D66" s="13" t="inlineStr">
        <is>
          <t>temperature_missing</t>
        </is>
      </c>
      <c r="E66" s="13" t="inlineStr">
        <is>
          <t>Temperature Missing/Invalid</t>
        </is>
      </c>
    </row>
    <row r="67">
      <c r="A67" s="13" t="inlineStr">
        <is>
          <t>2021 - Solvent‐Independent Molecular Weight Determination of Polymers Based on a Truly  Universal Calibration</t>
        </is>
      </c>
      <c r="B67" s="13" t="inlineStr">
        <is>
          <t>table3</t>
        </is>
      </c>
      <c r="C67" s="13" t="inlineStr">
        <is>
          <t>Flory</t>
        </is>
      </c>
      <c r="D67" s="13" t="inlineStr">
        <is>
          <t>temperature_missing</t>
        </is>
      </c>
      <c r="E67" s="13" t="inlineStr">
        <is>
          <t>Temperature Missing/Invalid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4" t="inlineStr">
        <is>
          <t>2023 - The Universal Calibration for Structure- and Solvent-Independent Molar Mass Determinations of Polymers Using Diffusion-Ordered Spectroscopy</t>
        </is>
      </c>
      <c r="B92" s="14" t="inlineStr">
        <is>
          <t>table1</t>
        </is>
      </c>
      <c r="C92" s="14" t="inlineStr">
        <is>
          <t>Flory</t>
        </is>
      </c>
      <c r="D92" s="14" t="inlineStr">
        <is>
          <t>polymer_name, temperature_missing</t>
        </is>
      </c>
      <c r="E92" s="14" t="inlineStr">
        <is>
          <t>Polymer Identification Failure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3" t="inlineStr">
        <is>
          <t>2024 - Molar Mass Determination for Small and Large Molecules Using Diffusion-Ordered Spectroscopy - SI</t>
        </is>
      </c>
      <c r="B121" s="13" t="inlineStr">
        <is>
          <t>table8</t>
        </is>
      </c>
      <c r="C121" s="13" t="inlineStr">
        <is>
          <t>Flory</t>
        </is>
      </c>
      <c r="D121" s="13" t="inlineStr">
        <is>
          <t>temperature_missing</t>
        </is>
      </c>
      <c r="E121" s="13" t="inlineStr">
        <is>
          <t>Temperature Missing/Invalid</t>
        </is>
      </c>
    </row>
    <row r="122">
      <c r="A122" s="13" t="inlineStr">
        <is>
          <t>2024 - Molar Mass Determination for Small and Large Molecules Using Diffusion-Ordered Spectroscopy - SI</t>
        </is>
      </c>
      <c r="B122" s="13" t="inlineStr">
        <is>
          <t>table8</t>
        </is>
      </c>
      <c r="C122" s="13" t="inlineStr">
        <is>
          <t>Flory</t>
        </is>
      </c>
      <c r="D122" s="13" t="inlineStr">
        <is>
          <t>temperature_missing</t>
        </is>
      </c>
      <c r="E122" s="13" t="inlineStr">
        <is>
          <t>Temperature Missing/Invalid</t>
        </is>
      </c>
    </row>
    <row r="123">
      <c r="A123" s="13" t="inlineStr">
        <is>
          <t>2024 - Molar Mass Determination for Small and Large Molecules Using Diffusion-Ordered Spectroscopy - SI</t>
        </is>
      </c>
      <c r="B123" s="13" t="inlineStr">
        <is>
          <t>table8</t>
        </is>
      </c>
      <c r="C123" s="13" t="inlineStr">
        <is>
          <t>Flory</t>
        </is>
      </c>
      <c r="D123" s="13" t="inlineStr">
        <is>
          <t>temperature_missing</t>
        </is>
      </c>
      <c r="E123" s="13" t="inlineStr">
        <is>
          <t>Temperature Missing/Invalid</t>
        </is>
      </c>
    </row>
    <row r="124">
      <c r="A124" s="13" t="inlineStr">
        <is>
          <t>2024 - Molar Mass Determination for Small and Large Molecules Using Diffusion-Ordered Spectroscopy - SI</t>
        </is>
      </c>
      <c r="B124" s="13" t="inlineStr">
        <is>
          <t>table8</t>
        </is>
      </c>
      <c r="C124" s="13" t="inlineStr">
        <is>
          <t>Flory</t>
        </is>
      </c>
      <c r="D124" s="13" t="inlineStr">
        <is>
          <t>temperature_missing</t>
        </is>
      </c>
      <c r="E124" s="13" t="inlineStr">
        <is>
          <t>Temperature Missing/Invalid</t>
        </is>
      </c>
    </row>
    <row r="125">
      <c r="A125" s="13" t="inlineStr">
        <is>
          <t>2024 - Molar Mass Determination for Small and Large Molecules Using Diffusion-Ordered Spectroscopy - SI</t>
        </is>
      </c>
      <c r="B125" s="13" t="inlineStr">
        <is>
          <t>table8</t>
        </is>
      </c>
      <c r="C125" s="13" t="inlineStr">
        <is>
          <t>Flory</t>
        </is>
      </c>
      <c r="D125" s="13" t="inlineStr">
        <is>
          <t>temperature_missing</t>
        </is>
      </c>
      <c r="E125" s="13" t="inlineStr">
        <is>
          <t>Temperature Missing/Invalid</t>
        </is>
      </c>
    </row>
    <row r="126">
      <c r="A126" s="13" t="inlineStr">
        <is>
          <t>2024 - Molar Mass Determination for Small and Large Molecules Using Diffusion-Ordered Spectroscopy - SI</t>
        </is>
      </c>
      <c r="B126" s="13" t="inlineStr">
        <is>
          <t>table8</t>
        </is>
      </c>
      <c r="C126" s="13" t="inlineStr">
        <is>
          <t>Flory</t>
        </is>
      </c>
      <c r="D126" s="13" t="inlineStr">
        <is>
          <t>temperature_missing</t>
        </is>
      </c>
      <c r="E126" s="13" t="inlineStr">
        <is>
          <t>Temperature Missing/Invalid</t>
        </is>
      </c>
    </row>
    <row r="127">
      <c r="A127" s="13" t="inlineStr">
        <is>
          <t>2024 - Molar Mass Determination for Small and Large Molecules Using Diffusion-Ordered Spectroscopy - SI</t>
        </is>
      </c>
      <c r="B127" s="13" t="inlineStr">
        <is>
          <t>table8</t>
        </is>
      </c>
      <c r="C127" s="13" t="inlineStr">
        <is>
          <t>Flory</t>
        </is>
      </c>
      <c r="D127" s="13" t="inlineStr">
        <is>
          <t>temperature_missing</t>
        </is>
      </c>
      <c r="E127" s="13" t="inlineStr">
        <is>
          <t>Temperature Missing/Invalid</t>
        </is>
      </c>
    </row>
    <row r="128">
      <c r="A128" s="13" t="inlineStr">
        <is>
          <t>2024 - Molar Mass Determination for Small and Large Molecules Using Diffusion-Ordered Spectroscopy - SI</t>
        </is>
      </c>
      <c r="B128" s="13" t="inlineStr">
        <is>
          <t>table8</t>
        </is>
      </c>
      <c r="C128" s="13" t="inlineStr">
        <is>
          <t>Flory</t>
        </is>
      </c>
      <c r="D128" s="13" t="inlineStr">
        <is>
          <t>temperature_missing</t>
        </is>
      </c>
      <c r="E128" s="13" t="inlineStr">
        <is>
          <t>Temperature Missing/Invalid</t>
        </is>
      </c>
    </row>
    <row r="129">
      <c r="A129" s="13" t="inlineStr">
        <is>
          <t>2024 - Molar Mass Determination for Small and Large Molecules Using Diffusion-Ordered Spectroscopy - SI</t>
        </is>
      </c>
      <c r="B129" s="13" t="inlineStr">
        <is>
          <t>table8</t>
        </is>
      </c>
      <c r="C129" s="13" t="inlineStr">
        <is>
          <t>Flory</t>
        </is>
      </c>
      <c r="D129" s="13" t="inlineStr">
        <is>
          <t>temperature_missing</t>
        </is>
      </c>
      <c r="E129" s="13" t="inlineStr">
        <is>
          <t>Temperature Missing/Invalid</t>
        </is>
      </c>
    </row>
    <row r="130">
      <c r="A130" s="13" t="inlineStr">
        <is>
          <t>2024 - Molar Mass Determination for Small and Large Molecules Using Diffusion-Ordered Spectroscopy - SI</t>
        </is>
      </c>
      <c r="B130" s="13" t="inlineStr">
        <is>
          <t>table8</t>
        </is>
      </c>
      <c r="C130" s="13" t="inlineStr">
        <is>
          <t>Flory</t>
        </is>
      </c>
      <c r="D130" s="13" t="inlineStr">
        <is>
          <t>temperature_missing</t>
        </is>
      </c>
      <c r="E130" s="13" t="inlineStr">
        <is>
          <t>Temperature Missing/Invalid</t>
        </is>
      </c>
    </row>
    <row r="131">
      <c r="A131" s="13" t="inlineStr">
        <is>
          <t>2024 - Molar Mass Determination for Small and Large Molecules Using Diffusion-Ordered Spectroscopy - SI</t>
        </is>
      </c>
      <c r="B131" s="13" t="inlineStr">
        <is>
          <t>table8</t>
        </is>
      </c>
      <c r="C131" s="13" t="inlineStr">
        <is>
          <t>Flory</t>
        </is>
      </c>
      <c r="D131" s="13" t="inlineStr">
        <is>
          <t>temperature_missing</t>
        </is>
      </c>
      <c r="E131" s="13" t="inlineStr">
        <is>
          <t>Temperature Missing/Invalid</t>
        </is>
      </c>
    </row>
    <row r="132">
      <c r="A132" s="13" t="inlineStr">
        <is>
          <t>2024 - Molar Mass Determination for Small and Large Molecules Using Diffusion-Ordered Spectroscopy - SI</t>
        </is>
      </c>
      <c r="B132" s="13" t="inlineStr">
        <is>
          <t>table8</t>
        </is>
      </c>
      <c r="C132" s="13" t="inlineStr">
        <is>
          <t>Flory</t>
        </is>
      </c>
      <c r="D132" s="13" t="inlineStr">
        <is>
          <t>temperature_missing</t>
        </is>
      </c>
      <c r="E132" s="13" t="inlineStr">
        <is>
          <t>Temperature Missing/Invalid</t>
        </is>
      </c>
    </row>
    <row r="133">
      <c r="A133" s="13" t="inlineStr">
        <is>
          <t>2024 - Molar Mass Determination for Small and Large Molecules Using Diffusion-Ordered Spectroscopy - SI</t>
        </is>
      </c>
      <c r="B133" s="13" t="inlineStr">
        <is>
          <t>table8</t>
        </is>
      </c>
      <c r="C133" s="13" t="inlineStr">
        <is>
          <t>Flory</t>
        </is>
      </c>
      <c r="D133" s="13" t="inlineStr">
        <is>
          <t>temperature_missing</t>
        </is>
      </c>
      <c r="E133" s="13" t="inlineStr">
        <is>
          <t>Temperature Missing/Invalid</t>
        </is>
      </c>
    </row>
    <row r="134">
      <c r="A134" s="13" t="inlineStr">
        <is>
          <t>2024 - Molar Mass Determination for Small and Large Molecules Using Diffusion-Ordered Spectroscopy - SI</t>
        </is>
      </c>
      <c r="B134" s="13" t="inlineStr">
        <is>
          <t>table8</t>
        </is>
      </c>
      <c r="C134" s="13" t="inlineStr">
        <is>
          <t>Flory</t>
        </is>
      </c>
      <c r="D134" s="13" t="inlineStr">
        <is>
          <t>temperature_missing</t>
        </is>
      </c>
      <c r="E134" s="13" t="inlineStr">
        <is>
          <t>Temperature Missing/Invalid</t>
        </is>
      </c>
    </row>
    <row r="135">
      <c r="A135" s="13" t="inlineStr">
        <is>
          <t>2024 - Molar Mass Determination for Small and Large Molecules Using Diffusion-Ordered Spectroscopy - SI</t>
        </is>
      </c>
      <c r="B135" s="13" t="inlineStr">
        <is>
          <t>table8</t>
        </is>
      </c>
      <c r="C135" s="13" t="inlineStr">
        <is>
          <t>Flory</t>
        </is>
      </c>
      <c r="D135" s="13" t="inlineStr">
        <is>
          <t>temperature_missing</t>
        </is>
      </c>
      <c r="E135" s="13" t="inlineStr">
        <is>
          <t>Temperature Missing/Invalid</t>
        </is>
      </c>
    </row>
    <row r="136">
      <c r="A136" s="13" t="inlineStr">
        <is>
          <t>2024 - Molar Mass Determination for Small and Large Molecules Using Diffusion-Ordered Spectroscopy - SI</t>
        </is>
      </c>
      <c r="B136" s="13" t="inlineStr">
        <is>
          <t>table8</t>
        </is>
      </c>
      <c r="C136" s="13" t="inlineStr">
        <is>
          <t>Flory</t>
        </is>
      </c>
      <c r="D136" s="13" t="inlineStr">
        <is>
          <t>temperature_missing</t>
        </is>
      </c>
      <c r="E136" s="13" t="inlineStr">
        <is>
          <t>Temperature Missing/Invalid</t>
        </is>
      </c>
    </row>
    <row r="137">
      <c r="A137" s="13" t="inlineStr">
        <is>
          <t>2024 - Molar Mass Determination for Small and Large Molecules Using Diffusion-Ordered Spectroscopy - SI</t>
        </is>
      </c>
      <c r="B137" s="13" t="inlineStr">
        <is>
          <t>table8</t>
        </is>
      </c>
      <c r="C137" s="13" t="inlineStr">
        <is>
          <t>Flory</t>
        </is>
      </c>
      <c r="D137" s="13" t="inlineStr">
        <is>
          <t>temperature_missing</t>
        </is>
      </c>
      <c r="E137" s="13" t="inlineStr">
        <is>
          <t>Temperature Missing/Invalid</t>
        </is>
      </c>
    </row>
    <row r="138">
      <c r="A138" s="13" t="inlineStr">
        <is>
          <t>2024 - Molar Mass Determination for Small and Large Molecules Using Diffusion-Ordered Spectroscopy - SI</t>
        </is>
      </c>
      <c r="B138" s="13" t="inlineStr">
        <is>
          <t>table8</t>
        </is>
      </c>
      <c r="C138" s="13" t="inlineStr">
        <is>
          <t>Flory</t>
        </is>
      </c>
      <c r="D138" s="13" t="inlineStr">
        <is>
          <t>temperature_missing</t>
        </is>
      </c>
      <c r="E138" s="13" t="inlineStr">
        <is>
          <t>Temperature Missing/Invalid</t>
        </is>
      </c>
    </row>
    <row r="139">
      <c r="A139" s="13" t="inlineStr">
        <is>
          <t>2024 - Molar Mass Determination for Small and Large Molecules Using Diffusion-Ordered Spectroscopy - SI</t>
        </is>
      </c>
      <c r="B139" s="13" t="inlineStr">
        <is>
          <t>table8</t>
        </is>
      </c>
      <c r="C139" s="13" t="inlineStr">
        <is>
          <t>Flory</t>
        </is>
      </c>
      <c r="D139" s="13" t="inlineStr">
        <is>
          <t>temperature_missing</t>
        </is>
      </c>
      <c r="E139" s="13" t="inlineStr">
        <is>
          <t>Temperature Missing/Invalid</t>
        </is>
      </c>
    </row>
    <row r="140">
      <c r="A140" s="13" t="inlineStr">
        <is>
          <t>2024 - Molar Mass Determination for Small and Large Molecules Using Diffusion-Ordered Spectroscopy - SI</t>
        </is>
      </c>
      <c r="B140" s="13" t="inlineStr">
        <is>
          <t>table9</t>
        </is>
      </c>
      <c r="C140" s="13" t="inlineStr">
        <is>
          <t>Flory</t>
        </is>
      </c>
      <c r="D140" s="13" t="inlineStr">
        <is>
          <t>temperature_missing</t>
        </is>
      </c>
      <c r="E140" s="13" t="inlineStr">
        <is>
          <t>Temperature Missing/Invalid</t>
        </is>
      </c>
    </row>
    <row r="141">
      <c r="A141" s="13" t="inlineStr">
        <is>
          <t>2024 - Molar Mass Determination for Small and Large Molecules Using Diffusion-Ordered Spectroscopy - SI</t>
        </is>
      </c>
      <c r="B141" s="13" t="inlineStr">
        <is>
          <t>table9</t>
        </is>
      </c>
      <c r="C141" s="13" t="inlineStr">
        <is>
          <t>Flory</t>
        </is>
      </c>
      <c r="D141" s="13" t="inlineStr">
        <is>
          <t>temperature_missing</t>
        </is>
      </c>
      <c r="E141" s="13" t="inlineStr">
        <is>
          <t>Temperature Missing/Invalid</t>
        </is>
      </c>
    </row>
    <row r="142">
      <c r="A142" s="13" t="inlineStr">
        <is>
          <t>2024 - Molar Mass Determination for Small and Large Molecules Using Diffusion-Ordered Spectroscopy - SI</t>
        </is>
      </c>
      <c r="B142" s="13" t="inlineStr">
        <is>
          <t>table9</t>
        </is>
      </c>
      <c r="C142" s="13" t="inlineStr">
        <is>
          <t>Flory</t>
        </is>
      </c>
      <c r="D142" s="13" t="inlineStr">
        <is>
          <t>temperature_missing</t>
        </is>
      </c>
      <c r="E142" s="13" t="inlineStr">
        <is>
          <t>Temperature Missing/Invalid</t>
        </is>
      </c>
    </row>
    <row r="143">
      <c r="A143" s="13" t="inlineStr">
        <is>
          <t>2024 - Molar Mass Determination for Small and Large Molecules Using Diffusion-Ordered Spectroscopy - SI</t>
        </is>
      </c>
      <c r="B143" s="13" t="inlineStr">
        <is>
          <t>table9</t>
        </is>
      </c>
      <c r="C143" s="13" t="inlineStr">
        <is>
          <t>Flory</t>
        </is>
      </c>
      <c r="D143" s="13" t="inlineStr">
        <is>
          <t>temperature_missing</t>
        </is>
      </c>
      <c r="E143" s="13" t="inlineStr">
        <is>
          <t>Temperature Missing/Invalid</t>
        </is>
      </c>
    </row>
    <row r="144">
      <c r="A144" s="13" t="inlineStr">
        <is>
          <t>2024 - Molar Mass Determination for Small and Large Molecules Using Diffusion-Ordered Spectroscopy - SI</t>
        </is>
      </c>
      <c r="B144" s="13" t="inlineStr">
        <is>
          <t>table9</t>
        </is>
      </c>
      <c r="C144" s="13" t="inlineStr">
        <is>
          <t>Flory</t>
        </is>
      </c>
      <c r="D144" s="13" t="inlineStr">
        <is>
          <t>temperature_missing</t>
        </is>
      </c>
      <c r="E144" s="13" t="inlineStr">
        <is>
          <t>Temperature Missing/Invalid</t>
        </is>
      </c>
    </row>
    <row r="145">
      <c r="A145" s="13" t="inlineStr">
        <is>
          <t>2024 - Molar Mass Determination for Small and Large Molecules Using Diffusion-Ordered Spectroscopy - SI</t>
        </is>
      </c>
      <c r="B145" s="13" t="inlineStr">
        <is>
          <t>table10</t>
        </is>
      </c>
      <c r="C145" s="13" t="inlineStr">
        <is>
          <t>Flory</t>
        </is>
      </c>
      <c r="D145" s="13" t="inlineStr">
        <is>
          <t>temperature_missing</t>
        </is>
      </c>
      <c r="E145" s="13" t="inlineStr">
        <is>
          <t>Temperature Missing/Invalid</t>
        </is>
      </c>
    </row>
    <row r="146">
      <c r="A146" s="13" t="inlineStr">
        <is>
          <t>2024 - Molar Mass Determination for Small and Large Molecules Using Diffusion-Ordered Spectroscopy - SI</t>
        </is>
      </c>
      <c r="B146" s="13" t="inlineStr">
        <is>
          <t>table10</t>
        </is>
      </c>
      <c r="C146" s="13" t="inlineStr">
        <is>
          <t>Flory</t>
        </is>
      </c>
      <c r="D146" s="13" t="inlineStr">
        <is>
          <t>temperature_missing</t>
        </is>
      </c>
      <c r="E146" s="13" t="inlineStr">
        <is>
          <t>Temperature Missing/Invalid</t>
        </is>
      </c>
    </row>
    <row r="147">
      <c r="A147" s="13" t="inlineStr">
        <is>
          <t>2024 - Molar Mass Determination for Small and Large Molecules Using Diffusion-Ordered Spectroscopy - SI</t>
        </is>
      </c>
      <c r="B147" s="13" t="inlineStr">
        <is>
          <t>table10</t>
        </is>
      </c>
      <c r="C147" s="13" t="inlineStr">
        <is>
          <t>Flory</t>
        </is>
      </c>
      <c r="D147" s="13" t="inlineStr">
        <is>
          <t>temperature_missing</t>
        </is>
      </c>
      <c r="E147" s="13" t="inlineStr">
        <is>
          <t>Temperature Missing/Invalid</t>
        </is>
      </c>
    </row>
    <row r="148">
      <c r="A148" s="13" t="inlineStr">
        <is>
          <t>2024 - Molar Mass Determination for Small and Large Molecules Using Diffusion-Ordered Spectroscopy - SI</t>
        </is>
      </c>
      <c r="B148" s="13" t="inlineStr">
        <is>
          <t>table10</t>
        </is>
      </c>
      <c r="C148" s="13" t="inlineStr">
        <is>
          <t>Flory</t>
        </is>
      </c>
      <c r="D148" s="13" t="inlineStr">
        <is>
          <t>temperature_missing</t>
        </is>
      </c>
      <c r="E148" s="13" t="inlineStr">
        <is>
          <t>Temperature Missing/Invalid</t>
        </is>
      </c>
    </row>
    <row r="149">
      <c r="A149" s="13" t="inlineStr">
        <is>
          <t>2024 - Molar Mass Determination for Small and Large Molecules Using Diffusion-Ordered Spectroscopy - SI</t>
        </is>
      </c>
      <c r="B149" s="13" t="inlineStr">
        <is>
          <t>table10</t>
        </is>
      </c>
      <c r="C149" s="13" t="inlineStr">
        <is>
          <t>Flory</t>
        </is>
      </c>
      <c r="D149" s="13" t="inlineStr">
        <is>
          <t>temperature_missing</t>
        </is>
      </c>
      <c r="E149" s="13" t="inlineStr">
        <is>
          <t>Temperature Missing/Invalid</t>
        </is>
      </c>
    </row>
    <row r="150">
      <c r="A150" s="13" t="inlineStr">
        <is>
          <t>2024 - Molar Mass Determination for Small and Large Molecules Using Diffusion-Ordered Spectroscopy - SI</t>
        </is>
      </c>
      <c r="B150" s="13" t="inlineStr">
        <is>
          <t>table10</t>
        </is>
      </c>
      <c r="C150" s="13" t="inlineStr">
        <is>
          <t>Flory</t>
        </is>
      </c>
      <c r="D150" s="13" t="inlineStr">
        <is>
          <t>temperature_missing</t>
        </is>
      </c>
      <c r="E150" s="13" t="inlineStr">
        <is>
          <t>Temperature Missing/Invalid</t>
        </is>
      </c>
    </row>
    <row r="151">
      <c r="A151" s="13" t="inlineStr">
        <is>
          <t>2024 - Molar Mass Determination for Small and Large Molecules Using Diffusion-Ordered Spectroscopy - SI</t>
        </is>
      </c>
      <c r="B151" s="13" t="inlineStr">
        <is>
          <t>table10</t>
        </is>
      </c>
      <c r="C151" s="13" t="inlineStr">
        <is>
          <t>Flory</t>
        </is>
      </c>
      <c r="D151" s="13" t="inlineStr">
        <is>
          <t>temperature_missing</t>
        </is>
      </c>
      <c r="E151" s="13" t="inlineStr">
        <is>
          <t>Temperature Missing/Invalid</t>
        </is>
      </c>
    </row>
    <row r="152">
      <c r="A152" s="13" t="inlineStr">
        <is>
          <t>2024 - Molar Mass Determination for Small and Large Molecules Using Diffusion-Ordered Spectroscopy - SI</t>
        </is>
      </c>
      <c r="B152" s="13" t="inlineStr">
        <is>
          <t>table10</t>
        </is>
      </c>
      <c r="C152" s="13" t="inlineStr">
        <is>
          <t>Flory</t>
        </is>
      </c>
      <c r="D152" s="13" t="inlineStr">
        <is>
          <t>temperature_missing</t>
        </is>
      </c>
      <c r="E152" s="13" t="inlineStr">
        <is>
          <t>Temperature Missing/Invalid</t>
        </is>
      </c>
    </row>
    <row r="153">
      <c r="A153" s="13" t="inlineStr">
        <is>
          <t>2024 - Molar Mass Determination for Small and Large Molecules Using Diffusion-Ordered Spectroscopy - SI</t>
        </is>
      </c>
      <c r="B153" s="13" t="inlineStr">
        <is>
          <t>table10</t>
        </is>
      </c>
      <c r="C153" s="13" t="inlineStr">
        <is>
          <t>Flory</t>
        </is>
      </c>
      <c r="D153" s="13" t="inlineStr">
        <is>
          <t>temperature_missing</t>
        </is>
      </c>
      <c r="E153" s="13" t="inlineStr">
        <is>
          <t>Temperature Missing/Invalid</t>
        </is>
      </c>
    </row>
    <row r="154">
      <c r="A154" s="13" t="inlineStr">
        <is>
          <t>2024 - Molar Mass Determination for Small and Large Molecules Using Diffusion-Ordered Spectroscopy - SI</t>
        </is>
      </c>
      <c r="B154" s="13" t="inlineStr">
        <is>
          <t>table10</t>
        </is>
      </c>
      <c r="C154" s="13" t="inlineStr">
        <is>
          <t>Flory</t>
        </is>
      </c>
      <c r="D154" s="13" t="inlineStr">
        <is>
          <t>temperature_missing</t>
        </is>
      </c>
      <c r="E154" s="13" t="inlineStr">
        <is>
          <t>Temperature Missing/Invalid</t>
        </is>
      </c>
    </row>
    <row r="155">
      <c r="A155" s="13" t="inlineStr">
        <is>
          <t>2024 - Molar Mass Determination for Small and Large Molecules Using Diffusion-Ordered Spectroscopy - SI</t>
        </is>
      </c>
      <c r="B155" s="13" t="inlineStr">
        <is>
          <t>table10</t>
        </is>
      </c>
      <c r="C155" s="13" t="inlineStr">
        <is>
          <t>Flory</t>
        </is>
      </c>
      <c r="D155" s="13" t="inlineStr">
        <is>
          <t>temperature_missing</t>
        </is>
      </c>
      <c r="E155" s="13" t="inlineStr">
        <is>
          <t>Temperature Missing/Invalid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2026-07-28T16:12:32Z</dcterms:created>
  <dcterms:modified xmlns:dcterms="http://purl.org/dc/terms/" xmlns:xsi="http://www.w3.org/2001/XMLSchema-instance" xsi:type="dcterms:W3CDTF">2026-07-28T16:12:33Z</dcterms:modified>
</cp:coreProperties>
</file>