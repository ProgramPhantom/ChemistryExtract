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nry\Github\ChemistryExtract\outputs\"/>
    </mc:Choice>
  </mc:AlternateContent>
  <xr:revisionPtr revIDLastSave="0" documentId="13_ncr:1_{92F25A70-0FA0-4420-9503-8E2E9B20C02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Results" sheetId="3" r:id="rId1"/>
    <sheet name="Full Output" sheetId="4" r:id="rId2"/>
    <sheet name="Process Summary" sheetId="1" r:id="rId3"/>
    <sheet name="Paper Summary" sheetId="2" r:id="rId4"/>
  </sheets>
  <definedNames>
    <definedName name="_xlnm._FilterDatabase" localSheetId="0" hidden="1">Results!$A$1:$H$79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M130" i="4"/>
  <c r="N129" i="4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5" i="4"/>
  <c r="M115" i="4"/>
  <c r="N114" i="4"/>
  <c r="M114" i="4"/>
  <c r="N113" i="4"/>
  <c r="M113" i="4"/>
  <c r="N112" i="4"/>
  <c r="M112" i="4"/>
  <c r="N111" i="4"/>
  <c r="M111" i="4"/>
  <c r="N110" i="4"/>
  <c r="M110" i="4"/>
  <c r="N109" i="4"/>
  <c r="M109" i="4"/>
  <c r="N108" i="4"/>
  <c r="M108" i="4"/>
  <c r="N107" i="4"/>
  <c r="M107" i="4"/>
  <c r="N106" i="4"/>
  <c r="M106" i="4"/>
  <c r="N104" i="4"/>
  <c r="M104" i="4"/>
  <c r="N103" i="4"/>
  <c r="M103" i="4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49" i="4"/>
  <c r="M49" i="4"/>
  <c r="N48" i="4"/>
  <c r="M48" i="4"/>
  <c r="N47" i="4"/>
  <c r="M47" i="4"/>
  <c r="N46" i="4"/>
  <c r="M46" i="4"/>
  <c r="N45" i="4"/>
  <c r="M45" i="4"/>
  <c r="N44" i="4"/>
  <c r="M44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29" i="4"/>
  <c r="M29" i="4"/>
  <c r="N25" i="4"/>
  <c r="M25" i="4"/>
  <c r="N18" i="4"/>
  <c r="M18" i="4"/>
  <c r="N7" i="4"/>
  <c r="M7" i="4"/>
  <c r="N6" i="4"/>
  <c r="M6" i="4"/>
  <c r="N5" i="4"/>
  <c r="M5" i="4"/>
  <c r="N4" i="4"/>
  <c r="M4" i="4"/>
  <c r="N3" i="4"/>
  <c r="M3" i="4"/>
  <c r="N2" i="4"/>
  <c r="M2" i="4"/>
  <c r="I79" i="3"/>
  <c r="F79" i="3"/>
  <c r="E79" i="3"/>
  <c r="I78" i="3"/>
  <c r="F78" i="3"/>
  <c r="E78" i="3"/>
  <c r="I77" i="3"/>
  <c r="F77" i="3"/>
  <c r="E77" i="3"/>
  <c r="I76" i="3"/>
  <c r="F76" i="3"/>
  <c r="E76" i="3"/>
  <c r="I75" i="3"/>
  <c r="F75" i="3"/>
  <c r="E75" i="3"/>
  <c r="I74" i="3"/>
  <c r="F74" i="3"/>
  <c r="E74" i="3"/>
  <c r="I73" i="3"/>
  <c r="F73" i="3"/>
  <c r="E73" i="3"/>
  <c r="I72" i="3"/>
  <c r="F72" i="3"/>
  <c r="E72" i="3"/>
  <c r="I71" i="3"/>
  <c r="F71" i="3"/>
  <c r="E71" i="3"/>
  <c r="I70" i="3"/>
  <c r="F70" i="3"/>
  <c r="E70" i="3"/>
  <c r="I69" i="3"/>
  <c r="F69" i="3"/>
  <c r="E69" i="3"/>
  <c r="I68" i="3"/>
  <c r="F68" i="3"/>
  <c r="E68" i="3"/>
  <c r="I67" i="3"/>
  <c r="F67" i="3"/>
  <c r="E67" i="3"/>
  <c r="I66" i="3"/>
  <c r="F66" i="3"/>
  <c r="E66" i="3"/>
  <c r="I65" i="3"/>
  <c r="F65" i="3"/>
  <c r="E65" i="3"/>
  <c r="I64" i="3"/>
  <c r="F64" i="3"/>
  <c r="E64" i="3"/>
  <c r="I63" i="3"/>
  <c r="F63" i="3"/>
  <c r="E63" i="3"/>
  <c r="I62" i="3"/>
  <c r="F62" i="3"/>
  <c r="E62" i="3"/>
  <c r="I61" i="3"/>
  <c r="F61" i="3"/>
  <c r="E61" i="3"/>
  <c r="I60" i="3"/>
  <c r="F60" i="3"/>
  <c r="E60" i="3"/>
  <c r="I59" i="3"/>
  <c r="F59" i="3"/>
  <c r="E59" i="3"/>
  <c r="I58" i="3"/>
  <c r="F58" i="3"/>
  <c r="E58" i="3"/>
  <c r="I57" i="3"/>
  <c r="F57" i="3"/>
  <c r="E57" i="3"/>
  <c r="I56" i="3"/>
  <c r="F56" i="3"/>
  <c r="E56" i="3"/>
  <c r="I55" i="3"/>
  <c r="F55" i="3"/>
  <c r="E55" i="3"/>
  <c r="I54" i="3"/>
  <c r="F54" i="3"/>
  <c r="E54" i="3"/>
  <c r="I53" i="3"/>
  <c r="F53" i="3"/>
  <c r="E53" i="3"/>
  <c r="I52" i="3"/>
  <c r="F52" i="3"/>
  <c r="E52" i="3"/>
  <c r="I51" i="3"/>
  <c r="F51" i="3"/>
  <c r="E51" i="3"/>
  <c r="I50" i="3"/>
  <c r="F50" i="3"/>
  <c r="E50" i="3"/>
  <c r="I49" i="3"/>
  <c r="F49" i="3"/>
  <c r="E49" i="3"/>
  <c r="I48" i="3"/>
  <c r="F48" i="3"/>
  <c r="E48" i="3"/>
  <c r="I47" i="3"/>
  <c r="F47" i="3"/>
  <c r="E47" i="3"/>
  <c r="I46" i="3"/>
  <c r="F46" i="3"/>
  <c r="E46" i="3"/>
  <c r="I45" i="3"/>
  <c r="F45" i="3"/>
  <c r="E45" i="3"/>
  <c r="I44" i="3"/>
  <c r="F44" i="3"/>
  <c r="E44" i="3"/>
  <c r="I43" i="3"/>
  <c r="F43" i="3"/>
  <c r="E43" i="3"/>
  <c r="I42" i="3"/>
  <c r="F42" i="3"/>
  <c r="E42" i="3"/>
  <c r="I41" i="3"/>
  <c r="F41" i="3"/>
  <c r="E41" i="3"/>
  <c r="I40" i="3"/>
  <c r="F40" i="3"/>
  <c r="E40" i="3"/>
  <c r="I39" i="3"/>
  <c r="F39" i="3"/>
  <c r="E39" i="3"/>
  <c r="I38" i="3"/>
  <c r="F38" i="3"/>
  <c r="E38" i="3"/>
  <c r="I37" i="3"/>
  <c r="F37" i="3"/>
  <c r="E37" i="3"/>
  <c r="I36" i="3"/>
  <c r="F36" i="3"/>
  <c r="E36" i="3"/>
  <c r="I35" i="3"/>
  <c r="F35" i="3"/>
  <c r="E35" i="3"/>
  <c r="I34" i="3"/>
  <c r="F34" i="3"/>
  <c r="E34" i="3"/>
  <c r="I33" i="3"/>
  <c r="F33" i="3"/>
  <c r="E33" i="3"/>
  <c r="I32" i="3"/>
  <c r="F32" i="3"/>
  <c r="E32" i="3"/>
  <c r="I31" i="3"/>
  <c r="F31" i="3"/>
  <c r="E31" i="3"/>
  <c r="I30" i="3"/>
  <c r="F30" i="3"/>
  <c r="E30" i="3"/>
  <c r="I29" i="3"/>
  <c r="F29" i="3"/>
  <c r="E29" i="3"/>
  <c r="I28" i="3"/>
  <c r="F28" i="3"/>
  <c r="E28" i="3"/>
  <c r="I27" i="3"/>
  <c r="F27" i="3"/>
  <c r="E27" i="3"/>
  <c r="I26" i="3"/>
  <c r="F26" i="3"/>
  <c r="E26" i="3"/>
  <c r="I25" i="3"/>
  <c r="F25" i="3"/>
  <c r="E25" i="3"/>
  <c r="I24" i="3"/>
  <c r="F24" i="3"/>
  <c r="E24" i="3"/>
  <c r="I23" i="3"/>
  <c r="F23" i="3"/>
  <c r="E23" i="3"/>
  <c r="I22" i="3"/>
  <c r="F22" i="3"/>
  <c r="E22" i="3"/>
  <c r="I21" i="3"/>
  <c r="F21" i="3"/>
  <c r="E21" i="3"/>
  <c r="I20" i="3"/>
  <c r="F20" i="3"/>
  <c r="E20" i="3"/>
  <c r="I19" i="3"/>
  <c r="F19" i="3"/>
  <c r="E19" i="3"/>
  <c r="I18" i="3"/>
  <c r="F18" i="3"/>
  <c r="E18" i="3"/>
  <c r="I17" i="3"/>
  <c r="F17" i="3"/>
  <c r="E17" i="3"/>
  <c r="I16" i="3"/>
  <c r="F16" i="3"/>
  <c r="E16" i="3"/>
  <c r="I15" i="3"/>
  <c r="F15" i="3"/>
  <c r="E15" i="3"/>
  <c r="Q14" i="3"/>
  <c r="I14" i="3"/>
  <c r="F14" i="3"/>
  <c r="E14" i="3"/>
  <c r="Q13" i="3"/>
  <c r="I13" i="3"/>
  <c r="F13" i="3"/>
  <c r="E13" i="3"/>
  <c r="R12" i="3"/>
  <c r="Q12" i="3"/>
  <c r="I12" i="3"/>
  <c r="F12" i="3"/>
  <c r="E12" i="3"/>
  <c r="R11" i="3"/>
  <c r="Q11" i="3"/>
  <c r="I11" i="3"/>
  <c r="F11" i="3"/>
  <c r="E11" i="3"/>
  <c r="R10" i="3"/>
  <c r="Q10" i="3"/>
  <c r="I10" i="3"/>
  <c r="F10" i="3"/>
  <c r="E10" i="3"/>
  <c r="R9" i="3"/>
  <c r="Q9" i="3"/>
  <c r="I9" i="3"/>
  <c r="F9" i="3"/>
  <c r="E9" i="3"/>
  <c r="R8" i="3"/>
  <c r="Q8" i="3"/>
  <c r="I8" i="3"/>
  <c r="E8" i="3"/>
  <c r="R7" i="3"/>
  <c r="Q7" i="3"/>
  <c r="I7" i="3"/>
  <c r="F7" i="3"/>
  <c r="E7" i="3"/>
  <c r="R6" i="3"/>
  <c r="Q6" i="3"/>
  <c r="I6" i="3"/>
  <c r="F6" i="3"/>
  <c r="E6" i="3"/>
  <c r="R5" i="3"/>
  <c r="Q5" i="3"/>
  <c r="I5" i="3"/>
  <c r="F5" i="3"/>
  <c r="E5" i="3"/>
  <c r="R4" i="3"/>
  <c r="Q4" i="3"/>
  <c r="I4" i="3"/>
  <c r="F4" i="3"/>
  <c r="E4" i="3"/>
  <c r="R3" i="3"/>
  <c r="Q3" i="3"/>
  <c r="I3" i="3"/>
  <c r="F3" i="3"/>
  <c r="E3" i="3"/>
  <c r="R2" i="3"/>
  <c r="Q2" i="3"/>
  <c r="I2" i="3"/>
  <c r="F2" i="3"/>
  <c r="E2" i="3"/>
</calcChain>
</file>

<file path=xl/sharedStrings.xml><?xml version="1.0" encoding="utf-8"?>
<sst xmlns="http://schemas.openxmlformats.org/spreadsheetml/2006/main" count="1994" uniqueCount="240">
  <si>
    <t>CHEMSTRACTOR BATCH PROCESSING REPORT</t>
  </si>
  <si>
    <t>Report Generated: 2026-08-06 11:20:15</t>
  </si>
  <si>
    <t>1. Run Execution &amp; System Information</t>
  </si>
  <si>
    <t>Property</t>
  </si>
  <si>
    <t>Details</t>
  </si>
  <si>
    <t>Process Stage Start Time</t>
  </si>
  <si>
    <t>2026-07-31 17:39:11</t>
  </si>
  <si>
    <t>Process Stage End Time</t>
  </si>
  <si>
    <t>2026-08-01 02:47:03</t>
  </si>
  <si>
    <t>Paper Processing Time</t>
  </si>
  <si>
    <t>9h 7m 51s</t>
  </si>
  <si>
    <t>Combine Stage Start Time</t>
  </si>
  <si>
    <t>2026-08-06 11:20:14</t>
  </si>
  <si>
    <t>Combine Stage End Time</t>
  </si>
  <si>
    <t>Combine Stage Execution Time</t>
  </si>
  <si>
    <t>0.14s</t>
  </si>
  <si>
    <t>Total Execution Time</t>
  </si>
  <si>
    <t>AI Model Selected</t>
  </si>
  <si>
    <t>gemma4:31b</t>
  </si>
  <si>
    <t>Input Directory / Run</t>
  </si>
  <si>
    <t>tests/runs/2026-07-31_17-39-11/</t>
  </si>
  <si>
    <t>Total Papers Inputted</t>
  </si>
  <si>
    <t>230</t>
  </si>
  <si>
    <t>Papers Selected</t>
  </si>
  <si>
    <t>16</t>
  </si>
  <si>
    <t>Tables Selected for Extraction</t>
  </si>
  <si>
    <t>31</t>
  </si>
  <si>
    <t>Operating System</t>
  </si>
  <si>
    <t>Linux 5.14.0-611.55.1.el9_7.0.3.x86_64</t>
  </si>
  <si>
    <t>CPU Architecture &amp; Cores</t>
  </si>
  <si>
    <t>x86_64 (48 Cores)</t>
  </si>
  <si>
    <t>Python Environment</t>
  </si>
  <si>
    <t>3.12.1</t>
  </si>
  <si>
    <t>Host Machine Name</t>
  </si>
  <si>
    <t>node852.csf3.man.alces.network</t>
  </si>
  <si>
    <t>2. Extraction &amp; Homogenisation Statistics</t>
  </si>
  <si>
    <t>Metric</t>
  </si>
  <si>
    <t>Value</t>
  </si>
  <si>
    <t>Total Data Points Collected</t>
  </si>
  <si>
    <t>Flory Data Points</t>
  </si>
  <si>
    <t>Mark-Houwink Data Points</t>
  </si>
  <si>
    <t>Selected Data Points (Successful)</t>
  </si>
  <si>
    <t>Deselected Data Points (Rejected)</t>
  </si>
  <si>
    <t>Issue Level: Deselected (Critical Failures)</t>
  </si>
  <si>
    <t>Issue Level: Problem (Parameter Errors)</t>
  </si>
  <si>
    <t>3. Failure Reasons Breakdown</t>
  </si>
  <si>
    <t>Failure Reason / Field</t>
  </si>
  <si>
    <t>Count</t>
  </si>
  <si>
    <t>Solvent Identification Failure</t>
  </si>
  <si>
    <t>Polymer Identification Failure</t>
  </si>
  <si>
    <t>c_value Not Found</t>
  </si>
  <si>
    <t>D Value Out of Range</t>
  </si>
  <si>
    <t>v_value Out of Range</t>
  </si>
  <si>
    <t>v_value Not Found</t>
  </si>
  <si>
    <t>Source Paper</t>
  </si>
  <si>
    <t>Total Tables</t>
  </si>
  <si>
    <t>Selected Tables</t>
  </si>
  <si>
    <t>Failed Data Points</t>
  </si>
  <si>
    <t>1994 - Structural Information on Hyaluronic Acid Solutions As Studied by Probe Diffusion Experiments</t>
  </si>
  <si>
    <t>1995 - Determination of Molecular Weight Distributions for Polymers by diffusion NMR</t>
  </si>
  <si>
    <t>2008 - Determination of the Chemical Structure of Poly-β-pinene by NMR Spectroscopy</t>
  </si>
  <si>
    <t>2009 - NMR Measure of Translational Diffusion and Fractal Dimension. Application to Molecular Mass Measurement</t>
  </si>
  <si>
    <t>2011 - A Simple Access to the LogNormal Molecular weight distribution parameters of Polymers using PGSTE NMR</t>
  </si>
  <si>
    <t>2014 - Determination of the Average Molecular Weight of Hydroxyethyl Starches by Diffusion Ordered NMR Spectroscopy</t>
  </si>
  <si>
    <t>2015 - Determination of the parameters of molecular-weight distribution of hydroxyethyl starches by diffusion-ordered NMR spectroscopy</t>
  </si>
  <si>
    <t>2016 - 1 H DOSY NMR Determination of the Molecular Weight and the Solution Properties of Poly-( N -acryloylmorpholine) in Various Solvents</t>
  </si>
  <si>
    <t>2019 - Quantitative Studies of Block Copolymers and Their Containing Homopolymer Components by Diffusion Ordered Spectroscopy</t>
  </si>
  <si>
    <t>2020 - Application of 1H DOSY NMR in Measurement of Polystyrene Molecular Weights</t>
  </si>
  <si>
    <t>2021 - Solvent‐Independent Molecular Weight Determination of Polymers Based on a Truly  Universal Calibration</t>
  </si>
  <si>
    <t>2021 - Solvent‐Independent Molecular Weight Determination of Polymers Based on a Truly Universal Calibration SI</t>
  </si>
  <si>
    <t>2022 - Molar Mass Distribution and Chemical Composition Distribution of PS‑b‑PMMA Block Copolymers Determined by Diffusion Ordered Spectroscopy</t>
  </si>
  <si>
    <t>2023 - A fast and efficient way of obtaining the average molecular weight of block copolymers via DOSY</t>
  </si>
  <si>
    <t>2023 - The Universal Calibration for Structure- and Solvent-Independent Molar Mass Determinations of Polymers Using Diffusion-Ordered Spectroscopy</t>
  </si>
  <si>
    <t>2024 - Molar Mass Determination for Small and Large Molecules Using Diffusion-Ordered Spectroscopy - SI</t>
  </si>
  <si>
    <t>Polymer (Clean)</t>
  </si>
  <si>
    <t>Solvent (Clean)</t>
  </si>
  <si>
    <t>Temperature (K)</t>
  </si>
  <si>
    <t>c Value (log Constant)</t>
  </si>
  <si>
    <t>v Value (Scaling Exponent)</t>
  </si>
  <si>
    <t>Table</t>
  </si>
  <si>
    <t>Data explorer</t>
  </si>
  <si>
    <t>dextran</t>
  </si>
  <si>
    <t>deuterium oxide</t>
  </si>
  <si>
    <t>Not found</t>
  </si>
  <si>
    <t>table1</t>
  </si>
  <si>
    <t>Select Polymer:</t>
  </si>
  <si>
    <t>All</t>
  </si>
  <si>
    <t>poly(2-vinylpyridine)</t>
  </si>
  <si>
    <t>benzene</t>
  </si>
  <si>
    <t>table8</t>
  </si>
  <si>
    <t>Select Solvent:</t>
  </si>
  <si>
    <t>acetone</t>
  </si>
  <si>
    <t>chloroform-d</t>
  </si>
  <si>
    <t>acetonitrile-d3</t>
  </si>
  <si>
    <t>dichloromethane</t>
  </si>
  <si>
    <t>poly(butyl acrylate)</t>
  </si>
  <si>
    <t>tetrahydrofuran</t>
  </si>
  <si>
    <t>poly(ethylene glycol methyl ether methacrylate)</t>
  </si>
  <si>
    <t>table3</t>
  </si>
  <si>
    <t>poly(ethylene oxide)</t>
  </si>
  <si>
    <t>poly(methyl methacrylate)</t>
  </si>
  <si>
    <t>table6</t>
  </si>
  <si>
    <t>polyimide</t>
  </si>
  <si>
    <t>dimethyl sulfoxide</t>
  </si>
  <si>
    <t>water</t>
  </si>
  <si>
    <t>polymer_name</t>
  </si>
  <si>
    <t>methanol-d4</t>
  </si>
  <si>
    <t>polystyrene</t>
  </si>
  <si>
    <t>pullulan</t>
  </si>
  <si>
    <t>table9</t>
  </si>
  <si>
    <t>toluene</t>
  </si>
  <si>
    <t>table2</t>
  </si>
  <si>
    <t>table10</t>
  </si>
  <si>
    <t>Polymer (Original)</t>
  </si>
  <si>
    <t>Solvent (Original)</t>
  </si>
  <si>
    <t>c Transformation</t>
  </si>
  <si>
    <t>v Transformation</t>
  </si>
  <si>
    <t>Errors</t>
  </si>
  <si>
    <t>FITC-dextran</t>
  </si>
  <si>
    <t>HA solutions</t>
  </si>
  <si>
    <t>Invalid chemical</t>
  </si>
  <si>
    <t>log10</t>
  </si>
  <si>
    <t>none</t>
  </si>
  <si>
    <t>Solvent Identification Failure, D Value Out of Range</t>
  </si>
  <si>
    <t>Polyethylene oxide</t>
  </si>
  <si>
    <t>D2O</t>
  </si>
  <si>
    <t>positive_exponent</t>
  </si>
  <si>
    <t>None</t>
  </si>
  <si>
    <t>table5</t>
  </si>
  <si>
    <t>PEG</t>
  </si>
  <si>
    <t>polymers in Έ solvent</t>
  </si>
  <si>
    <t>Solvent Identification Failure, c_value Not Found, Polymer Identification Failure</t>
  </si>
  <si>
    <t>polymers in good solvent</t>
  </si>
  <si>
    <t>globular proteins</t>
  </si>
  <si>
    <t>Solvent Identification Failure, c_value Not Found</t>
  </si>
  <si>
    <t>PS in toluene</t>
  </si>
  <si>
    <t>PMMAin acetone below 30 kD</t>
  </si>
  <si>
    <t>PS in acetone</t>
  </si>
  <si>
    <t>PS in CDCl 3 below 20 kD</t>
  </si>
  <si>
    <t>CDCl3</t>
  </si>
  <si>
    <t>PMMAin CDCl 3 below 30 kD</t>
  </si>
  <si>
    <t>oligosaccharides a</t>
  </si>
  <si>
    <t>oligosaccharides</t>
  </si>
  <si>
    <t>PS in THF below 20 kD</t>
  </si>
  <si>
    <t>THF</t>
  </si>
  <si>
    <t>PEO in D 2 O</t>
  </si>
  <si>
    <t>small molecules in D 2 O a</t>
  </si>
  <si>
    <t>c_value Not Found, Polymer Identification Failure</t>
  </si>
  <si>
    <t>PMMAin acetone above 25 kD</t>
  </si>
  <si>
    <t>PEO in water</t>
  </si>
  <si>
    <t>small molecules in CDCl 3 a</t>
  </si>
  <si>
    <t>DNA</t>
  </si>
  <si>
    <t>deoxyribonucleic acid</t>
  </si>
  <si>
    <t>PEO in CDCl 3</t>
  </si>
  <si>
    <t>denatured peptide a , c</t>
  </si>
  <si>
    <t>peptide</t>
  </si>
  <si>
    <t>PMMAin CDCl 3 above 25 kD</t>
  </si>
  <si>
    <t>PS in CDCl 3 above 20 kD</t>
  </si>
  <si>
    <t>PS in THF above 20 kD</t>
  </si>
  <si>
    <t>Linear alcanes</t>
  </si>
  <si>
    <t>Branched HES</t>
  </si>
  <si>
    <t>hydroxyethyl starch</t>
  </si>
  <si>
    <t>(1/2.538) * (3 + log10(9.0314)) - 10</t>
  </si>
  <si>
    <t>1 / 2.538</t>
  </si>
  <si>
    <t>Low branched dextrans</t>
  </si>
  <si>
    <t>(1/2.164) * (3 + log10(8.3038)) - 10</t>
  </si>
  <si>
    <t>1 / 2.164</t>
  </si>
  <si>
    <t>Linear pullulans</t>
  </si>
  <si>
    <t>(1/1.801) * (3 + log10(9.4862)) - 10</t>
  </si>
  <si>
    <t>1 / 1.801</t>
  </si>
  <si>
    <t>HES</t>
  </si>
  <si>
    <t>1 / v</t>
  </si>
  <si>
    <t>H</t>
  </si>
  <si>
    <t>Solvent Identification Failure, Polymer Identification Failure, D Value Out of Range</t>
  </si>
  <si>
    <t>PNAM</t>
  </si>
  <si>
    <t>poly(N-isopropylacrylamide)</t>
  </si>
  <si>
    <t>PBS, pH7.4</t>
  </si>
  <si>
    <t>phosphate buffered saline</t>
  </si>
  <si>
    <t>D2O/MeOD 80/20</t>
  </si>
  <si>
    <t>PS</t>
  </si>
  <si>
    <t>abs</t>
  </si>
  <si>
    <t>PMMA</t>
  </si>
  <si>
    <t>PI</t>
  </si>
  <si>
    <t>Solvent Identification Failure, v_value Out of Range</t>
  </si>
  <si>
    <t>chloroform</t>
  </si>
  <si>
    <t>sign_correction</t>
  </si>
  <si>
    <t>pMA</t>
  </si>
  <si>
    <t>pMMA</t>
  </si>
  <si>
    <t>CDCl 3</t>
  </si>
  <si>
    <t>dextrane</t>
  </si>
  <si>
    <t>D 2 O</t>
  </si>
  <si>
    <t>pullane</t>
  </si>
  <si>
    <t>PEG [a]</t>
  </si>
  <si>
    <t>benzene-d6</t>
  </si>
  <si>
    <t>minus_sign_correction</t>
  </si>
  <si>
    <t>acetone-d6</t>
  </si>
  <si>
    <t>toluene-d8</t>
  </si>
  <si>
    <t>THF-d8</t>
  </si>
  <si>
    <t>poly(ethylene glycol)</t>
  </si>
  <si>
    <t>ACN-d3</t>
  </si>
  <si>
    <t>abs(-0.4466)</t>
  </si>
  <si>
    <t>table7</t>
  </si>
  <si>
    <t>-1 * -0.4737</t>
  </si>
  <si>
    <t>Toluene</t>
  </si>
  <si>
    <t>Benzene</t>
  </si>
  <si>
    <t>Acetone</t>
  </si>
  <si>
    <t>D x η corrected</t>
  </si>
  <si>
    <t>poly( 함께서 l acrylate own)</t>
  </si>
  <si>
    <t>Chloroform</t>
  </si>
  <si>
    <t>pPEGMEA</t>
  </si>
  <si>
    <t>Water</t>
  </si>
  <si>
    <t>log10(c * 10^-8)</t>
  </si>
  <si>
    <t>C6D6</t>
  </si>
  <si>
    <t>CD2Cl2</t>
  </si>
  <si>
    <t>PEO</t>
  </si>
  <si>
    <t>CD3OD</t>
  </si>
  <si>
    <t>CD3CN</t>
  </si>
  <si>
    <t>DMSO</t>
  </si>
  <si>
    <t>compact spheres (CS)</t>
  </si>
  <si>
    <t>C 6 D 6</t>
  </si>
  <si>
    <t>CD 2 Cl 2</t>
  </si>
  <si>
    <t>Toluene- d8</t>
  </si>
  <si>
    <t>DMSO-d6</t>
  </si>
  <si>
    <t>v_value Not Found, Polymer Identification Failure</t>
  </si>
  <si>
    <t>C 6 D 12</t>
  </si>
  <si>
    <t>cyclohexane-d12</t>
  </si>
  <si>
    <t>dissipated spheres and ellipsoids (DSE)</t>
  </si>
  <si>
    <t>Polymer Identification Failure, D Value Out of Range</t>
  </si>
  <si>
    <t xml:space="preserve"> tackles expanded discs (ED)</t>
  </si>
  <si>
    <t>expanded discs (ED)</t>
  </si>
  <si>
    <t>v_value Out of Range, Polymer Identification Failure, D Value Out of Range</t>
  </si>
  <si>
    <t>Toluene-d8</t>
  </si>
  <si>
    <t>Acetone-d6</t>
  </si>
  <si>
    <t>P2VP</t>
  </si>
  <si>
    <t>CD 3 CN</t>
  </si>
  <si>
    <t>MeOD</t>
  </si>
  <si>
    <t>Tables: 23</t>
  </si>
  <si>
    <t>All (78)</t>
  </si>
  <si>
    <t>v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</si>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</sst>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9.5"/>
      <color rgb="FF595959"/>
      <name val="Segoe UI"/>
    </font>
    <font>
      <b/>
      <sz val="11"/>
      <color rgb="FF1F497D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1"/>
      <color rgb="FFFFFFFF"/>
      <name val="Segoe UI"/>
    </font>
    <font>
      <b/>
      <sz val="10"/>
      <color rgb="FF1F497D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5" fillId="0" borderId="0" xfId="0" applyFont="1"/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Flory Calibration Curves (Interactive log-log Plot)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242283091198312"/>
          <c:y val="6.8658971917927386E-2"/>
          <c:w val="0.8671841368192913"/>
          <c:h val="0.85175681775793599"/>
        </c:manualLayout>
      </c:layout>
      <c:lineChart>
        <c:grouping val="standard"/>
        <c:varyColors val="1"/>
        <c:ser>
          <c:idx val="0"/>
          <c:order val="0"/>
          <c:tx>
            <c:strRef>
              <c:f>Results!$I$2</c:f>
              <c:strCache>
                <c:ptCount val="1"/>
                <c:pt idx="0">
                  <c:v>dextran in deuterium oxide</c:v>
                </c:pt>
              </c:strCache>
            </c:strRef>
          </c:tx>
          <c:spPr>
            <a:ln>
              <a:solidFill>
                <a:srgbClr val="1F497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Results!$E$2:$F$2</c:f>
              <c:numCache>
                <c:formatCode>General</c:formatCode>
                <c:ptCount val="2"/>
                <c:pt idx="0">
                  <c:v>-9.5500000000000007</c:v>
                </c:pt>
                <c:pt idx="1">
                  <c:v>-10.96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22-4414-9EC4-7038DABCDEEE}"/>
            </c:ext>
          </c:extLst>
        </c:ser>
        <c:ser>
          <c:idx val="1"/>
          <c:order val="1"/>
          <c:tx>
            <c:strRef>
              <c:f>Results!$I$3</c:f>
              <c:strCache>
                <c:ptCount val="1"/>
                <c:pt idx="0">
                  <c:v>poly(2-vinylpyridine) in benzene</c:v>
                </c:pt>
              </c:strCache>
            </c:strRef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Results!$E$3:$F$3</c:f>
              <c:numCache>
                <c:formatCode>General</c:formatCode>
                <c:ptCount val="2"/>
                <c:pt idx="0">
                  <c:v>-9.3701362400067048</c:v>
                </c:pt>
                <c:pt idx="1">
                  <c:v>-10.836626240006705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22-4414-9EC4-7038DABCDEEE}"/>
            </c:ext>
          </c:extLst>
        </c:ser>
        <c:ser>
          <c:idx val="2"/>
          <c:order val="2"/>
          <c:tx>
            <c:strRef>
              <c:f>Results!$I$4</c:f>
              <c:strCache>
                <c:ptCount val="1"/>
                <c:pt idx="0">
                  <c:v>poly(2-vinylpyridine) in chloroform-d</c:v>
                </c:pt>
              </c:strCache>
            </c:strRef>
          </c:tx>
          <c:spPr>
            <a:ln>
              <a:solidFill>
                <a:srgbClr val="9BBB59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Results!$E$4:$F$4</c:f>
              <c:numCache>
                <c:formatCode>General</c:formatCode>
                <c:ptCount val="2"/>
                <c:pt idx="0">
                  <c:v>-9.0440807433903014</c:v>
                </c:pt>
                <c:pt idx="1">
                  <c:v>-10.5105707433903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822-4414-9EC4-7038DABCDEEE}"/>
            </c:ext>
          </c:extLst>
        </c:ser>
        <c:ser>
          <c:idx val="3"/>
          <c:order val="3"/>
          <c:tx>
            <c:strRef>
              <c:f>Results!$I$5</c:f>
              <c:strCache>
                <c:ptCount val="1"/>
                <c:pt idx="0">
                  <c:v>poly(2-vinylpyridine) in dichloromethane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Results!$E$5:$F$5</c:f>
              <c:numCache>
                <c:formatCode>General</c:formatCode>
                <c:ptCount val="2"/>
                <c:pt idx="0">
                  <c:v>-9.5489937647436189</c:v>
                </c:pt>
                <c:pt idx="1">
                  <c:v>-11.150873764743618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822-4414-9EC4-7038DABCDEEE}"/>
            </c:ext>
          </c:extLst>
        </c:ser>
        <c:ser>
          <c:idx val="4"/>
          <c:order val="4"/>
          <c:tx>
            <c:strRef>
              <c:f>Results!$I$6</c:f>
              <c:strCache>
                <c:ptCount val="1"/>
                <c:pt idx="0">
                  <c:v>poly(2-vinylpyridine) in tetrahydrofuran</c:v>
                </c:pt>
              </c:strCache>
            </c:strRef>
          </c:tx>
          <c:spPr>
            <a:ln>
              <a:solidFill>
                <a:srgbClr val="F7964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Results!$E$6:$F$6</c:f>
              <c:numCache>
                <c:formatCode>General</c:formatCode>
                <c:ptCount val="2"/>
                <c:pt idx="0">
                  <c:v>-9.2546524750046775</c:v>
                </c:pt>
                <c:pt idx="1">
                  <c:v>-10.769352475004677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822-4414-9EC4-7038DABCDEEE}"/>
            </c:ext>
          </c:extLst>
        </c:ser>
        <c:ser>
          <c:idx val="5"/>
          <c:order val="5"/>
          <c:tx>
            <c:strRef>
              <c:f>Results!$I$7</c:f>
              <c:strCache>
                <c:ptCount val="1"/>
                <c:pt idx="0">
                  <c:v>poly(butyl acrylate) in acetone</c:v>
                </c:pt>
              </c:strCache>
            </c:strRef>
          </c:tx>
          <c:spPr>
            <a:ln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Results!$E$7:$F$7</c:f>
              <c:numCache>
                <c:formatCode>General</c:formatCode>
                <c:ptCount val="2"/>
                <c:pt idx="0">
                  <c:v>-9.0599999999999987</c:v>
                </c:pt>
                <c:pt idx="1">
                  <c:v>-10.559999999999999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822-4414-9EC4-7038DABCDEEE}"/>
            </c:ext>
          </c:extLst>
        </c:ser>
        <c:ser>
          <c:idx val="6"/>
          <c:order val="6"/>
          <c:tx>
            <c:strRef>
              <c:f>Results!$I$8</c:f>
              <c:strCache>
                <c:ptCount val="1"/>
                <c:pt idx="0">
                  <c:v>poly(butyl acrylate) in benzene</c:v>
                </c:pt>
              </c:strCache>
            </c:strRef>
          </c:tx>
          <c:spPr>
            <a:ln>
              <a:solidFill>
                <a:srgbClr val="E26B0A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Results!$E$8:$F$8</c:f>
              <c:numCache>
                <c:formatCode>General</c:formatCode>
                <c:ptCount val="2"/>
                <c:pt idx="0">
                  <c:v>-9.36</c:v>
                </c:pt>
                <c:pt idx="1">
                  <c:v>-10.89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822-4414-9EC4-7038DABCDEEE}"/>
            </c:ext>
          </c:extLst>
        </c:ser>
        <c:ser>
          <c:idx val="7"/>
          <c:order val="7"/>
          <c:tx>
            <c:strRef>
              <c:f>Results!$I$9</c:f>
              <c:strCache>
                <c:ptCount val="1"/>
                <c:pt idx="0">
                  <c:v>poly(ethylene glycol methyl ether methacrylate) in acetone</c:v>
                </c:pt>
              </c:strCache>
            </c:strRef>
          </c:tx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Results!$E$9:$F$9</c:f>
              <c:numCache>
                <c:formatCode>General</c:formatCode>
                <c:ptCount val="2"/>
                <c:pt idx="0">
                  <c:v>-9.18</c:v>
                </c:pt>
                <c:pt idx="1">
                  <c:v>-10.35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822-4414-9EC4-7038DABCDEEE}"/>
            </c:ext>
          </c:extLst>
        </c:ser>
        <c:ser>
          <c:idx val="8"/>
          <c:order val="8"/>
          <c:tx>
            <c:strRef>
              <c:f>Results!$I$10</c:f>
              <c:strCache>
                <c:ptCount val="1"/>
                <c:pt idx="0">
                  <c:v>poly(ethylene glycol methyl ether methacrylate) in water</c:v>
                </c:pt>
              </c:strCache>
            </c:strRef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Results!$E$10:$F$10</c:f>
              <c:numCache>
                <c:formatCode>General</c:formatCode>
                <c:ptCount val="2"/>
                <c:pt idx="0">
                  <c:v>-9.7200000000000006</c:v>
                </c:pt>
                <c:pt idx="1">
                  <c:v>-11.13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822-4414-9EC4-7038DABCDEEE}"/>
            </c:ext>
          </c:extLst>
        </c:ser>
        <c:ser>
          <c:idx val="9"/>
          <c:order val="9"/>
          <c:tx>
            <c:strRef>
              <c:f>Results!$I$11</c:f>
              <c:strCache>
                <c:ptCount val="1"/>
                <c:pt idx="0">
                  <c:v>poly(ethylene oxide) in acetone</c:v>
                </c:pt>
              </c:strCache>
            </c:strRef>
          </c:tx>
          <c:spPr>
            <a:ln>
              <a:solidFill>
                <a:srgbClr val="1F497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Results!$E$11:$F$11</c:f>
              <c:numCache>
                <c:formatCode>General</c:formatCode>
                <c:ptCount val="2"/>
                <c:pt idx="0">
                  <c:v>-9.17</c:v>
                </c:pt>
                <c:pt idx="1">
                  <c:v>-10.4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822-4414-9EC4-7038DABCDEEE}"/>
            </c:ext>
          </c:extLst>
        </c:ser>
        <c:ser>
          <c:idx val="10"/>
          <c:order val="10"/>
          <c:tx>
            <c:strRef>
              <c:f>Results!$I$12</c:f>
              <c:strCache>
                <c:ptCount val="1"/>
                <c:pt idx="0">
                  <c:v>poly(ethylene oxide) in acetone</c:v>
                </c:pt>
              </c:strCache>
            </c:strRef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Results!$E$12:$F$12</c:f>
              <c:numCache>
                <c:formatCode>General</c:formatCode>
                <c:ptCount val="2"/>
                <c:pt idx="0">
                  <c:v>-9.0969333330659179</c:v>
                </c:pt>
                <c:pt idx="1">
                  <c:v>-10.520364333065917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822-4414-9EC4-7038DABCDEEE}"/>
            </c:ext>
          </c:extLst>
        </c:ser>
        <c:ser>
          <c:idx val="11"/>
          <c:order val="11"/>
          <c:tx>
            <c:strRef>
              <c:f>Results!$I$13</c:f>
              <c:strCache>
                <c:ptCount val="1"/>
                <c:pt idx="0">
                  <c:v>poly(ethylene oxide) in acetone</c:v>
                </c:pt>
              </c:strCache>
            </c:strRef>
          </c:tx>
          <c:spPr>
            <a:ln>
              <a:solidFill>
                <a:srgbClr val="9BBB59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Results!$E$13:$F$13</c:f>
              <c:numCache>
                <c:formatCode>General</c:formatCode>
                <c:ptCount val="2"/>
                <c:pt idx="0">
                  <c:v>-9.0969402852749628</c:v>
                </c:pt>
                <c:pt idx="1">
                  <c:v>-10.520380285274964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8822-4414-9EC4-7038DABCDEEE}"/>
            </c:ext>
          </c:extLst>
        </c:ser>
        <c:ser>
          <c:idx val="12"/>
          <c:order val="12"/>
          <c:tx>
            <c:strRef>
              <c:f>Results!$I$14</c:f>
              <c:strCache>
                <c:ptCount val="1"/>
                <c:pt idx="0">
                  <c:v>poly(ethylene oxide) in acetonitrile-d3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Results!$E$14:$F$14</c:f>
              <c:numCache>
                <c:formatCode>General</c:formatCode>
                <c:ptCount val="2"/>
                <c:pt idx="0">
                  <c:v>-9.1999999999999993</c:v>
                </c:pt>
                <c:pt idx="1">
                  <c:v>-10.52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8822-4414-9EC4-7038DABCDEEE}"/>
            </c:ext>
          </c:extLst>
        </c:ser>
        <c:ser>
          <c:idx val="13"/>
          <c:order val="13"/>
          <c:tx>
            <c:strRef>
              <c:f>Results!$I$15</c:f>
              <c:strCache>
                <c:ptCount val="1"/>
                <c:pt idx="0">
                  <c:v>poly(ethylene oxide) in acetonitrile-d3</c:v>
                </c:pt>
              </c:strCache>
            </c:strRef>
          </c:tx>
          <c:spPr>
            <a:ln>
              <a:solidFill>
                <a:srgbClr val="F7964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Results!$E$15:$F$15</c:f>
              <c:numCache>
                <c:formatCode>General</c:formatCode>
                <c:ptCount val="2"/>
                <c:pt idx="0">
                  <c:v>-9.1377627770492147</c:v>
                </c:pt>
                <c:pt idx="1">
                  <c:v>-10.685321777049214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8822-4414-9EC4-7038DABCDEEE}"/>
            </c:ext>
          </c:extLst>
        </c:ser>
        <c:ser>
          <c:idx val="14"/>
          <c:order val="14"/>
          <c:tx>
            <c:strRef>
              <c:f>Results!$I$16</c:f>
              <c:strCache>
                <c:ptCount val="1"/>
                <c:pt idx="0">
                  <c:v>poly(ethylene oxide) in acetonitrile-d3</c:v>
                </c:pt>
              </c:strCache>
            </c:strRef>
          </c:tx>
          <c:spPr>
            <a:ln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Results!$E$16:$F$16</c:f>
              <c:numCache>
                <c:formatCode>General</c:formatCode>
                <c:ptCount val="2"/>
                <c:pt idx="0">
                  <c:v>-9.070303705216908</c:v>
                </c:pt>
                <c:pt idx="1">
                  <c:v>-10.858693705216908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8822-4414-9EC4-7038DABCDEEE}"/>
            </c:ext>
          </c:extLst>
        </c:ser>
        <c:ser>
          <c:idx val="15"/>
          <c:order val="15"/>
          <c:tx>
            <c:strRef>
              <c:f>Results!$I$17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E26B0A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Results!$E$17:$F$17</c:f>
              <c:numCache>
                <c:formatCode>General</c:formatCode>
                <c:ptCount val="2"/>
                <c:pt idx="0">
                  <c:v>-9.48</c:v>
                </c:pt>
                <c:pt idx="1">
                  <c:v>-11.34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8822-4414-9EC4-7038DABCDEEE}"/>
            </c:ext>
          </c:extLst>
        </c:ser>
        <c:ser>
          <c:idx val="16"/>
          <c:order val="16"/>
          <c:tx>
            <c:strRef>
              <c:f>Results!$I$18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Results!$E$18:$F$18</c:f>
              <c:numCache>
                <c:formatCode>General</c:formatCode>
                <c:ptCount val="2"/>
                <c:pt idx="0">
                  <c:v>-9.8000000000000007</c:v>
                </c:pt>
                <c:pt idx="1">
                  <c:v>-11.21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8822-4414-9EC4-7038DABCDEEE}"/>
            </c:ext>
          </c:extLst>
        </c:ser>
        <c:ser>
          <c:idx val="17"/>
          <c:order val="17"/>
          <c:tx>
            <c:strRef>
              <c:f>Results!$I$19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Results!$E$19:$F$19</c:f>
              <c:numCache>
                <c:formatCode>General</c:formatCode>
                <c:ptCount val="2"/>
                <c:pt idx="0">
                  <c:v>-9.7000000000000011</c:v>
                </c:pt>
                <c:pt idx="1">
                  <c:v>-11.17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8822-4414-9EC4-7038DABCDEEE}"/>
            </c:ext>
          </c:extLst>
        </c:ser>
        <c:ser>
          <c:idx val="18"/>
          <c:order val="18"/>
          <c:tx>
            <c:strRef>
              <c:f>Results!$I$20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1F497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Results!$E$20:$F$20</c:f>
              <c:numCache>
                <c:formatCode>General</c:formatCode>
                <c:ptCount val="2"/>
                <c:pt idx="0">
                  <c:v>-9.6668000000000003</c:v>
                </c:pt>
                <c:pt idx="1">
                  <c:v>-11.006599999999999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8822-4414-9EC4-7038DABCDEEE}"/>
            </c:ext>
          </c:extLst>
        </c:ser>
        <c:ser>
          <c:idx val="19"/>
          <c:order val="19"/>
          <c:tx>
            <c:strRef>
              <c:f>Results!$I$21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Results!$E$21:$F$21</c:f>
              <c:numCache>
                <c:formatCode>General</c:formatCode>
                <c:ptCount val="2"/>
                <c:pt idx="0">
                  <c:v>-9.6376427710179264</c:v>
                </c:pt>
                <c:pt idx="1">
                  <c:v>-11.174107771017926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8822-4414-9EC4-7038DABCDEEE}"/>
            </c:ext>
          </c:extLst>
        </c:ser>
        <c:ser>
          <c:idx val="20"/>
          <c:order val="20"/>
          <c:tx>
            <c:strRef>
              <c:f>Results!$I$22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9BBB59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Results!$E$22:$F$22</c:f>
              <c:numCache>
                <c:formatCode>General</c:formatCode>
                <c:ptCount val="2"/>
                <c:pt idx="0">
                  <c:v>-9.5940945371525554</c:v>
                </c:pt>
                <c:pt idx="1">
                  <c:v>-11.310994537152556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8822-4414-9EC4-7038DABCDEEE}"/>
            </c:ext>
          </c:extLst>
        </c:ser>
        <c:ser>
          <c:idx val="21"/>
          <c:order val="21"/>
          <c:tx>
            <c:strRef>
              <c:f>Results!$I$23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Results!$E$23:$F$23</c:f>
              <c:numCache>
                <c:formatCode>General</c:formatCode>
                <c:ptCount val="2"/>
                <c:pt idx="0">
                  <c:v>-9.5940945371525554</c:v>
                </c:pt>
                <c:pt idx="1">
                  <c:v>-11.310994537152556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8822-4414-9EC4-7038DABCDEEE}"/>
            </c:ext>
          </c:extLst>
        </c:ser>
        <c:ser>
          <c:idx val="22"/>
          <c:order val="22"/>
          <c:tx>
            <c:strRef>
              <c:f>Results!$I$24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F7964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Results!$E$24:$F$24</c:f>
              <c:numCache>
                <c:formatCode>General</c:formatCode>
                <c:ptCount val="2"/>
                <c:pt idx="0">
                  <c:v>-9.5219115207244833</c:v>
                </c:pt>
                <c:pt idx="1">
                  <c:v>-11.201521520724484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8822-4414-9EC4-7038DABCDEEE}"/>
            </c:ext>
          </c:extLst>
        </c:ser>
        <c:ser>
          <c:idx val="23"/>
          <c:order val="23"/>
          <c:tx>
            <c:strRef>
              <c:f>Results!$I$25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Results!$E$25:$F$25</c:f>
              <c:numCache>
                <c:formatCode>General</c:formatCode>
                <c:ptCount val="2"/>
                <c:pt idx="0">
                  <c:v>-9.4079558669376642</c:v>
                </c:pt>
                <c:pt idx="1">
                  <c:v>-11.098125866937664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8822-4414-9EC4-7038DABCDEEE}"/>
            </c:ext>
          </c:extLst>
        </c:ser>
        <c:ser>
          <c:idx val="24"/>
          <c:order val="24"/>
          <c:tx>
            <c:strRef>
              <c:f>Results!$I$26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E26B0A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Results!$E$26:$F$26</c:f>
              <c:numCache>
                <c:formatCode>General</c:formatCode>
                <c:ptCount val="2"/>
                <c:pt idx="0">
                  <c:v>-9.2974418137007664</c:v>
                </c:pt>
                <c:pt idx="1">
                  <c:v>-10.969851813700767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8822-4414-9EC4-7038DABCDEEE}"/>
            </c:ext>
          </c:extLst>
        </c:ser>
        <c:ser>
          <c:idx val="25"/>
          <c:order val="25"/>
          <c:tx>
            <c:strRef>
              <c:f>Results!$I$27</c:f>
              <c:strCache>
                <c:ptCount val="1"/>
                <c:pt idx="0">
                  <c:v>poly(ethylene oxide) in deuterium oxide</c:v>
                </c:pt>
              </c:strCache>
            </c:strRef>
          </c:tx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Results!$E$27:$F$27</c:f>
              <c:numCache>
                <c:formatCode>General</c:formatCode>
                <c:ptCount val="2"/>
                <c:pt idx="0">
                  <c:v>-9.2114002965036015</c:v>
                </c:pt>
                <c:pt idx="1">
                  <c:v>-10.866470296503602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8822-4414-9EC4-7038DABCDEEE}"/>
            </c:ext>
          </c:extLst>
        </c:ser>
        <c:ser>
          <c:idx val="26"/>
          <c:order val="26"/>
          <c:tx>
            <c:strRef>
              <c:f>Results!$I$28</c:f>
              <c:strCache>
                <c:ptCount val="1"/>
                <c:pt idx="0">
                  <c:v>poly(ethylene oxide) in methanol-d4</c:v>
                </c:pt>
              </c:strCache>
            </c:strRef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Results!$E$28:$F$28</c:f>
              <c:numCache>
                <c:formatCode>General</c:formatCode>
                <c:ptCount val="2"/>
                <c:pt idx="0">
                  <c:v>-9.41</c:v>
                </c:pt>
                <c:pt idx="1">
                  <c:v>-10.760000000000002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8822-4414-9EC4-7038DABCDEEE}"/>
            </c:ext>
          </c:extLst>
        </c:ser>
        <c:ser>
          <c:idx val="27"/>
          <c:order val="27"/>
          <c:tx>
            <c:strRef>
              <c:f>Results!$I$29</c:f>
              <c:strCache>
                <c:ptCount val="1"/>
                <c:pt idx="0">
                  <c:v>poly(ethylene oxide) in methanol-d4</c:v>
                </c:pt>
              </c:strCache>
            </c:strRef>
          </c:tx>
          <c:spPr>
            <a:ln>
              <a:solidFill>
                <a:srgbClr val="1F497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Results!$E$29:$F$29</c:f>
              <c:numCache>
                <c:formatCode>General</c:formatCode>
                <c:ptCount val="2"/>
                <c:pt idx="0">
                  <c:v>-9.3559324510277904</c:v>
                </c:pt>
                <c:pt idx="1">
                  <c:v>-10.86824745102779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8822-4414-9EC4-7038DABCDEEE}"/>
            </c:ext>
          </c:extLst>
        </c:ser>
        <c:ser>
          <c:idx val="28"/>
          <c:order val="28"/>
          <c:tx>
            <c:strRef>
              <c:f>Results!$I$30</c:f>
              <c:strCache>
                <c:ptCount val="1"/>
                <c:pt idx="0">
                  <c:v>poly(ethylene oxide) in methanol-d4</c:v>
                </c:pt>
              </c:strCache>
            </c:strRef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Results!$E$30:$F$30</c:f>
              <c:numCache>
                <c:formatCode>General</c:formatCode>
                <c:ptCount val="2"/>
                <c:pt idx="0">
                  <c:v>-9.3022373798666393</c:v>
                </c:pt>
                <c:pt idx="1">
                  <c:v>-11.012867379866639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8822-4414-9EC4-7038DABCDEEE}"/>
            </c:ext>
          </c:extLst>
        </c:ser>
        <c:ser>
          <c:idx val="29"/>
          <c:order val="29"/>
          <c:tx>
            <c:strRef>
              <c:f>Results!$I$31</c:f>
              <c:strCache>
                <c:ptCount val="1"/>
                <c:pt idx="0">
                  <c:v>poly(ethylene oxide) in poly(ethylene oxide)</c:v>
                </c:pt>
              </c:strCache>
            </c:strRef>
          </c:tx>
          <c:spPr>
            <a:ln>
              <a:solidFill>
                <a:srgbClr val="9BBB59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Results!$E$31:$F$31</c:f>
              <c:numCache>
                <c:formatCode>General</c:formatCode>
                <c:ptCount val="2"/>
                <c:pt idx="0">
                  <c:v>-9.3899999999999988</c:v>
                </c:pt>
                <c:pt idx="1">
                  <c:v>-10.739999999999998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8822-4414-9EC4-7038DABCDEEE}"/>
            </c:ext>
          </c:extLst>
        </c:ser>
        <c:ser>
          <c:idx val="30"/>
          <c:order val="30"/>
          <c:tx>
            <c:strRef>
              <c:f>Results!$I$32</c:f>
              <c:strCache>
                <c:ptCount val="1"/>
                <c:pt idx="0">
                  <c:v>poly(ethylene oxide) in tetrahydrofuran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Results!$E$32:$F$32</c:f>
              <c:numCache>
                <c:formatCode>General</c:formatCode>
                <c:ptCount val="2"/>
                <c:pt idx="0">
                  <c:v>-9.32</c:v>
                </c:pt>
                <c:pt idx="1">
                  <c:v>-10.700000000000001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8822-4414-9EC4-7038DABCDEEE}"/>
            </c:ext>
          </c:extLst>
        </c:ser>
        <c:ser>
          <c:idx val="31"/>
          <c:order val="31"/>
          <c:tx>
            <c:strRef>
              <c:f>Results!$I$33</c:f>
              <c:strCache>
                <c:ptCount val="1"/>
                <c:pt idx="0">
                  <c:v>poly(ethylene oxide) in tetrahydrofuran</c:v>
                </c:pt>
              </c:strCache>
            </c:strRef>
          </c:tx>
          <c:spPr>
            <a:ln>
              <a:solidFill>
                <a:srgbClr val="F7964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Results!$E$33:$F$33</c:f>
              <c:numCache>
                <c:formatCode>General</c:formatCode>
                <c:ptCount val="2"/>
                <c:pt idx="0">
                  <c:v>-9.2207742440846765</c:v>
                </c:pt>
                <c:pt idx="1">
                  <c:v>-10.962634244084677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8822-4414-9EC4-7038DABCDEEE}"/>
            </c:ext>
          </c:extLst>
        </c:ser>
        <c:ser>
          <c:idx val="32"/>
          <c:order val="32"/>
          <c:tx>
            <c:strRef>
              <c:f>Results!$I$34</c:f>
              <c:strCache>
                <c:ptCount val="1"/>
                <c:pt idx="0">
                  <c:v>poly(methyl methacrylate) in acetone</c:v>
                </c:pt>
              </c:strCache>
            </c:strRef>
          </c:tx>
          <c:spPr>
            <a:ln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Results!$E$34:$F$34</c:f>
              <c:numCache>
                <c:formatCode>General</c:formatCode>
                <c:ptCount val="2"/>
                <c:pt idx="0">
                  <c:v>-9.06</c:v>
                </c:pt>
                <c:pt idx="1">
                  <c:v>-10.38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8822-4414-9EC4-7038DABCDEEE}"/>
            </c:ext>
          </c:extLst>
        </c:ser>
        <c:ser>
          <c:idx val="33"/>
          <c:order val="33"/>
          <c:tx>
            <c:strRef>
              <c:f>Results!$I$35</c:f>
              <c:strCache>
                <c:ptCount val="1"/>
                <c:pt idx="0">
                  <c:v>poly(methyl methacrylate) in benzene</c:v>
                </c:pt>
              </c:strCache>
            </c:strRef>
          </c:tx>
          <c:spPr>
            <a:ln>
              <a:solidFill>
                <a:srgbClr val="E26B0A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Results!$E$35:$F$35</c:f>
              <c:numCache>
                <c:formatCode>General</c:formatCode>
                <c:ptCount val="2"/>
                <c:pt idx="0">
                  <c:v>-9.35</c:v>
                </c:pt>
                <c:pt idx="1">
                  <c:v>-10.79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8822-4414-9EC4-7038DABCDEEE}"/>
            </c:ext>
          </c:extLst>
        </c:ser>
        <c:ser>
          <c:idx val="34"/>
          <c:order val="34"/>
          <c:tx>
            <c:strRef>
              <c:f>Results!$I$36</c:f>
              <c:strCache>
                <c:ptCount val="1"/>
                <c:pt idx="0">
                  <c:v>poly(methyl methacrylate) in benzene</c:v>
                </c:pt>
              </c:strCache>
            </c:strRef>
          </c:tx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Results!$E$36:$F$36</c:f>
              <c:numCache>
                <c:formatCode>General</c:formatCode>
                <c:ptCount val="2"/>
                <c:pt idx="0">
                  <c:v>-9.2751382293162159</c:v>
                </c:pt>
                <c:pt idx="1">
                  <c:v>-10.866320229316216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8822-4414-9EC4-7038DABCDEEE}"/>
            </c:ext>
          </c:extLst>
        </c:ser>
        <c:ser>
          <c:idx val="35"/>
          <c:order val="35"/>
          <c:tx>
            <c:strRef>
              <c:f>Results!$I$37</c:f>
              <c:strCache>
                <c:ptCount val="1"/>
                <c:pt idx="0">
                  <c:v>poly(methyl methacrylate) in benzene</c:v>
                </c:pt>
              </c:strCache>
            </c:strRef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Results!$E$37:$F$37</c:f>
              <c:numCache>
                <c:formatCode>General</c:formatCode>
                <c:ptCount val="2"/>
                <c:pt idx="0">
                  <c:v>-9.2357463009586134</c:v>
                </c:pt>
                <c:pt idx="1">
                  <c:v>-10.943136300958614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8822-4414-9EC4-7038DABCDEEE}"/>
            </c:ext>
          </c:extLst>
        </c:ser>
        <c:ser>
          <c:idx val="36"/>
          <c:order val="36"/>
          <c:tx>
            <c:strRef>
              <c:f>Results!$I$38</c:f>
              <c:strCache>
                <c:ptCount val="1"/>
                <c:pt idx="0">
                  <c:v>poly(methyl methacrylate) in benzene</c:v>
                </c:pt>
              </c:strCache>
            </c:strRef>
          </c:tx>
          <c:spPr>
            <a:ln>
              <a:solidFill>
                <a:srgbClr val="1F497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Results!$E$38:$F$38</c:f>
              <c:numCache>
                <c:formatCode>General</c:formatCode>
                <c:ptCount val="2"/>
                <c:pt idx="0">
                  <c:v>-9.2785863339937968</c:v>
                </c:pt>
                <c:pt idx="1">
                  <c:v>-10.860606333993797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8822-4414-9EC4-7038DABCDEEE}"/>
            </c:ext>
          </c:extLst>
        </c:ser>
        <c:ser>
          <c:idx val="37"/>
          <c:order val="37"/>
          <c:tx>
            <c:strRef>
              <c:f>Results!$I$39</c:f>
              <c:strCache>
                <c:ptCount val="1"/>
                <c:pt idx="0">
                  <c:v>poly(methyl methacrylate) in benzene</c:v>
                </c:pt>
              </c:strCache>
            </c:strRef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Results!$E$39:$F$39</c:f>
              <c:numCache>
                <c:formatCode>General</c:formatCode>
                <c:ptCount val="2"/>
                <c:pt idx="0">
                  <c:v>-9.2132118141894708</c:v>
                </c:pt>
                <c:pt idx="1">
                  <c:v>-10.803091814189472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8822-4414-9EC4-7038DABCDEEE}"/>
            </c:ext>
          </c:extLst>
        </c:ser>
        <c:ser>
          <c:idx val="38"/>
          <c:order val="38"/>
          <c:tx>
            <c:strRef>
              <c:f>Results!$I$40</c:f>
              <c:strCache>
                <c:ptCount val="1"/>
                <c:pt idx="0">
                  <c:v>poly(methyl methacrylate) in benzene</c:v>
                </c:pt>
              </c:strCache>
            </c:strRef>
          </c:tx>
          <c:spPr>
            <a:ln>
              <a:solidFill>
                <a:srgbClr val="9BBB59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Results!$E$40:$F$40</c:f>
              <c:numCache>
                <c:formatCode>General</c:formatCode>
                <c:ptCount val="2"/>
                <c:pt idx="0">
                  <c:v>-9.1649402940367697</c:v>
                </c:pt>
                <c:pt idx="1">
                  <c:v>-10.74150029403677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8822-4414-9EC4-7038DABCDEEE}"/>
            </c:ext>
          </c:extLst>
        </c:ser>
        <c:ser>
          <c:idx val="39"/>
          <c:order val="39"/>
          <c:tx>
            <c:strRef>
              <c:f>Results!$I$41</c:f>
              <c:strCache>
                <c:ptCount val="1"/>
                <c:pt idx="0">
                  <c:v>poly(methyl methacrylate) in benzene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Results!$E$41:$F$41</c:f>
              <c:numCache>
                <c:formatCode>General</c:formatCode>
                <c:ptCount val="2"/>
                <c:pt idx="0">
                  <c:v>-9.1092370639412881</c:v>
                </c:pt>
                <c:pt idx="1">
                  <c:v>-10.705867063941287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8822-4414-9EC4-7038DABCDEEE}"/>
            </c:ext>
          </c:extLst>
        </c:ser>
        <c:ser>
          <c:idx val="40"/>
          <c:order val="40"/>
          <c:tx>
            <c:strRef>
              <c:f>Results!$I$42</c:f>
              <c:strCache>
                <c:ptCount val="1"/>
                <c:pt idx="0">
                  <c:v>poly(methyl methacrylate) in benzene</c:v>
                </c:pt>
              </c:strCache>
            </c:strRef>
          </c:tx>
          <c:spPr>
            <a:ln>
              <a:solidFill>
                <a:srgbClr val="F7964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Results!$E$42:$F$42</c:f>
              <c:numCache>
                <c:formatCode>General</c:formatCode>
                <c:ptCount val="2"/>
                <c:pt idx="0">
                  <c:v>-9.0768143794466702</c:v>
                </c:pt>
                <c:pt idx="1">
                  <c:v>-10.619264379446671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8822-4414-9EC4-7038DABCDEEE}"/>
            </c:ext>
          </c:extLst>
        </c:ser>
        <c:ser>
          <c:idx val="41"/>
          <c:order val="41"/>
          <c:tx>
            <c:strRef>
              <c:f>Results!$I$43</c:f>
              <c:strCache>
                <c:ptCount val="1"/>
                <c:pt idx="0">
                  <c:v>poly(methyl methacrylate) in benzene</c:v>
                </c:pt>
              </c:strCache>
            </c:strRef>
          </c:tx>
          <c:spPr>
            <a:ln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Results!$E$43:$F$43</c:f>
              <c:numCache>
                <c:formatCode>General</c:formatCode>
                <c:ptCount val="2"/>
                <c:pt idx="0">
                  <c:v>-9.0299335130770757</c:v>
                </c:pt>
                <c:pt idx="1">
                  <c:v>-10.573763513077076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8822-4414-9EC4-7038DABCDEEE}"/>
            </c:ext>
          </c:extLst>
        </c:ser>
        <c:ser>
          <c:idx val="42"/>
          <c:order val="42"/>
          <c:tx>
            <c:strRef>
              <c:f>Results!$I$44</c:f>
              <c:strCache>
                <c:ptCount val="1"/>
                <c:pt idx="0">
                  <c:v>poly(methyl methacrylate) in chloroform-d</c:v>
                </c:pt>
              </c:strCache>
            </c:strRef>
          </c:tx>
          <c:spPr>
            <a:ln>
              <a:solidFill>
                <a:srgbClr val="E26B0A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Results!$E$44:$F$44</c:f>
              <c:numCache>
                <c:formatCode>General</c:formatCode>
                <c:ptCount val="2"/>
                <c:pt idx="0">
                  <c:v>-9.2100000000000009</c:v>
                </c:pt>
                <c:pt idx="1">
                  <c:v>-10.89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8822-4414-9EC4-7038DABCDEEE}"/>
            </c:ext>
          </c:extLst>
        </c:ser>
        <c:ser>
          <c:idx val="43"/>
          <c:order val="43"/>
          <c:tx>
            <c:strRef>
              <c:f>Results!$I$45</c:f>
              <c:strCache>
                <c:ptCount val="1"/>
                <c:pt idx="0">
                  <c:v>poly(methyl methacrylate) in chloroform-d</c:v>
                </c:pt>
              </c:strCache>
            </c:strRef>
          </c:tx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Results!$E$45:$F$45</c:f>
              <c:numCache>
                <c:formatCode>General</c:formatCode>
                <c:ptCount val="2"/>
                <c:pt idx="0">
                  <c:v>-9.2095080912237641</c:v>
                </c:pt>
                <c:pt idx="1">
                  <c:v>-10.839165091223766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8822-4414-9EC4-7038DABCDEEE}"/>
            </c:ext>
          </c:extLst>
        </c:ser>
        <c:ser>
          <c:idx val="44"/>
          <c:order val="44"/>
          <c:tx>
            <c:strRef>
              <c:f>Results!$I$46</c:f>
              <c:strCache>
                <c:ptCount val="1"/>
                <c:pt idx="0">
                  <c:v>poly(methyl methacrylate) in chloroform-d</c:v>
                </c:pt>
              </c:strCache>
            </c:strRef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Results!$E$46:$F$46</c:f>
              <c:numCache>
                <c:formatCode>General</c:formatCode>
                <c:ptCount val="2"/>
                <c:pt idx="0">
                  <c:v>-9.1677798354129312</c:v>
                </c:pt>
                <c:pt idx="1">
                  <c:v>-10.918939835412932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8822-4414-9EC4-7038DABCDEEE}"/>
            </c:ext>
          </c:extLst>
        </c:ser>
        <c:ser>
          <c:idx val="45"/>
          <c:order val="45"/>
          <c:tx>
            <c:strRef>
              <c:f>Results!$I$47</c:f>
              <c:strCache>
                <c:ptCount val="1"/>
                <c:pt idx="0">
                  <c:v>poly(methyl methacrylate) in dichloromethane</c:v>
                </c:pt>
              </c:strCache>
            </c:strRef>
          </c:tx>
          <c:spPr>
            <a:ln>
              <a:solidFill>
                <a:srgbClr val="1F497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Results!$E$47:$F$47</c:f>
              <c:numCache>
                <c:formatCode>General</c:formatCode>
                <c:ptCount val="2"/>
                <c:pt idx="0">
                  <c:v>-9.1000188968190709</c:v>
                </c:pt>
                <c:pt idx="1">
                  <c:v>-10.71035889681907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8822-4414-9EC4-7038DABCDEEE}"/>
            </c:ext>
          </c:extLst>
        </c:ser>
        <c:ser>
          <c:idx val="46"/>
          <c:order val="46"/>
          <c:tx>
            <c:strRef>
              <c:f>Results!$I$48</c:f>
              <c:strCache>
                <c:ptCount val="1"/>
                <c:pt idx="0">
                  <c:v>poly(methyl methacrylate) in dichloromethane</c:v>
                </c:pt>
              </c:strCache>
            </c:strRef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Results!$E$48:$F$48</c:f>
              <c:numCache>
                <c:formatCode>General</c:formatCode>
                <c:ptCount val="2"/>
                <c:pt idx="0">
                  <c:v>-9.0477670087051987</c:v>
                </c:pt>
                <c:pt idx="1">
                  <c:v>-10.809847008705198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8822-4414-9EC4-7038DABCDEEE}"/>
            </c:ext>
          </c:extLst>
        </c:ser>
        <c:ser>
          <c:idx val="47"/>
          <c:order val="47"/>
          <c:tx>
            <c:strRef>
              <c:f>Results!$I$49</c:f>
              <c:strCache>
                <c:ptCount val="1"/>
                <c:pt idx="0">
                  <c:v>poly(methyl methacrylate) in dimethyl sulfoxide</c:v>
                </c:pt>
              </c:strCache>
            </c:strRef>
          </c:tx>
          <c:spPr>
            <a:ln>
              <a:solidFill>
                <a:srgbClr val="9BBB59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Results!$E$49:$F$49</c:f>
              <c:numCache>
                <c:formatCode>General</c:formatCode>
                <c:ptCount val="2"/>
                <c:pt idx="0">
                  <c:v>-9.8384810295991052</c:v>
                </c:pt>
                <c:pt idx="1">
                  <c:v>-11.171189029599105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8822-4414-9EC4-7038DABCDEEE}"/>
            </c:ext>
          </c:extLst>
        </c:ser>
        <c:ser>
          <c:idx val="48"/>
          <c:order val="48"/>
          <c:tx>
            <c:strRef>
              <c:f>Results!$I$50</c:f>
              <c:strCache>
                <c:ptCount val="1"/>
                <c:pt idx="0">
                  <c:v>poly(methyl methacrylate) in dimethyl sulfoxide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Results!$E$50:$F$50</c:f>
              <c:numCache>
                <c:formatCode>General</c:formatCode>
                <c:ptCount val="2"/>
                <c:pt idx="0">
                  <c:v>-9.8384958130830977</c:v>
                </c:pt>
                <c:pt idx="1">
                  <c:v>-11.171215813083098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0-8822-4414-9EC4-7038DABCDEEE}"/>
            </c:ext>
          </c:extLst>
        </c:ser>
        <c:ser>
          <c:idx val="49"/>
          <c:order val="49"/>
          <c:tx>
            <c:strRef>
              <c:f>Results!$I$51</c:f>
              <c:strCache>
                <c:ptCount val="1"/>
                <c:pt idx="0">
                  <c:v>poly(methyl methacrylate) in tetrahydrofuran</c:v>
                </c:pt>
              </c:strCache>
            </c:strRef>
          </c:tx>
          <c:spPr>
            <a:ln>
              <a:solidFill>
                <a:srgbClr val="F7964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Results!$E$51:$F$51</c:f>
              <c:numCache>
                <c:formatCode>General</c:formatCode>
                <c:ptCount val="2"/>
                <c:pt idx="0">
                  <c:v>-9.3099999999999987</c:v>
                </c:pt>
                <c:pt idx="1">
                  <c:v>-10.6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8822-4414-9EC4-7038DABCDEEE}"/>
            </c:ext>
          </c:extLst>
        </c:ser>
        <c:ser>
          <c:idx val="50"/>
          <c:order val="50"/>
          <c:tx>
            <c:strRef>
              <c:f>Results!$I$52</c:f>
              <c:strCache>
                <c:ptCount val="1"/>
                <c:pt idx="0">
                  <c:v>poly(methyl methacrylate) in tetrahydrofuran</c:v>
                </c:pt>
              </c:strCache>
            </c:strRef>
          </c:tx>
          <c:spPr>
            <a:ln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Results!$E$52:$F$52</c:f>
              <c:numCache>
                <c:formatCode>General</c:formatCode>
                <c:ptCount val="2"/>
                <c:pt idx="0">
                  <c:v>-9.1674787389538803</c:v>
                </c:pt>
                <c:pt idx="1">
                  <c:v>-10.72030273895388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2-8822-4414-9EC4-7038DABCDEEE}"/>
            </c:ext>
          </c:extLst>
        </c:ser>
        <c:ser>
          <c:idx val="51"/>
          <c:order val="51"/>
          <c:tx>
            <c:strRef>
              <c:f>Results!$I$53</c:f>
              <c:strCache>
                <c:ptCount val="1"/>
                <c:pt idx="0">
                  <c:v>poly(methyl methacrylate) in tetrahydrofuran</c:v>
                </c:pt>
              </c:strCache>
            </c:strRef>
          </c:tx>
          <c:spPr>
            <a:ln>
              <a:solidFill>
                <a:srgbClr val="E26B0A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Results!$E$53:$F$53</c:f>
              <c:numCache>
                <c:formatCode>General</c:formatCode>
                <c:ptCount val="2"/>
                <c:pt idx="0">
                  <c:v>-9.1214347995478491</c:v>
                </c:pt>
                <c:pt idx="1">
                  <c:v>-10.808634799547848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3-8822-4414-9EC4-7038DABCDEEE}"/>
            </c:ext>
          </c:extLst>
        </c:ser>
        <c:ser>
          <c:idx val="52"/>
          <c:order val="52"/>
          <c:tx>
            <c:strRef>
              <c:f>Results!$I$54</c:f>
              <c:strCache>
                <c:ptCount val="1"/>
                <c:pt idx="0">
                  <c:v>poly(methyl methacrylate) in toluene</c:v>
                </c:pt>
              </c:strCache>
            </c:strRef>
          </c:tx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Results!$E$54:$F$54</c:f>
              <c:numCache>
                <c:formatCode>General</c:formatCode>
                <c:ptCount val="2"/>
                <c:pt idx="0">
                  <c:v>-9.2199999999999989</c:v>
                </c:pt>
                <c:pt idx="1">
                  <c:v>-10.719999999999999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8822-4414-9EC4-7038DABCDEEE}"/>
            </c:ext>
          </c:extLst>
        </c:ser>
        <c:ser>
          <c:idx val="53"/>
          <c:order val="53"/>
          <c:tx>
            <c:strRef>
              <c:f>Results!$I$55</c:f>
              <c:strCache>
                <c:ptCount val="1"/>
                <c:pt idx="0">
                  <c:v>poly(methyl methacrylate) in toluene</c:v>
                </c:pt>
              </c:strCache>
            </c:strRef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Results!$E$55:$F$55</c:f>
              <c:numCache>
                <c:formatCode>General</c:formatCode>
                <c:ptCount val="2"/>
                <c:pt idx="0">
                  <c:v>-9.3999999999999986</c:v>
                </c:pt>
                <c:pt idx="1">
                  <c:v>-10.69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8822-4414-9EC4-7038DABCDEEE}"/>
            </c:ext>
          </c:extLst>
        </c:ser>
        <c:ser>
          <c:idx val="54"/>
          <c:order val="54"/>
          <c:tx>
            <c:strRef>
              <c:f>Results!$I$56</c:f>
              <c:strCache>
                <c:ptCount val="1"/>
                <c:pt idx="0">
                  <c:v>polyimide in benzene</c:v>
                </c:pt>
              </c:strCache>
            </c:strRef>
          </c:tx>
          <c:spPr>
            <a:ln>
              <a:solidFill>
                <a:srgbClr val="1F497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Results!$E$56:$F$56</c:f>
              <c:numCache>
                <c:formatCode>General</c:formatCode>
                <c:ptCount val="2"/>
                <c:pt idx="0">
                  <c:v>-9.2370047361771057</c:v>
                </c:pt>
                <c:pt idx="1">
                  <c:v>-11.085424736177107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6-8822-4414-9EC4-7038DABCDEEE}"/>
            </c:ext>
          </c:extLst>
        </c:ser>
        <c:ser>
          <c:idx val="55"/>
          <c:order val="55"/>
          <c:tx>
            <c:strRef>
              <c:f>Results!$I$57</c:f>
              <c:strCache>
                <c:ptCount val="1"/>
                <c:pt idx="0">
                  <c:v>polyimide in chloroform-d</c:v>
                </c:pt>
              </c:strCache>
            </c:strRef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Results!$E$57:$F$57</c:f>
              <c:numCache>
                <c:formatCode>General</c:formatCode>
                <c:ptCount val="2"/>
                <c:pt idx="0">
                  <c:v>-9.1799152602950045</c:v>
                </c:pt>
                <c:pt idx="1">
                  <c:v>-11.061545260295006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7-8822-4414-9EC4-7038DABCDEEE}"/>
            </c:ext>
          </c:extLst>
        </c:ser>
        <c:ser>
          <c:idx val="56"/>
          <c:order val="56"/>
          <c:tx>
            <c:strRef>
              <c:f>Results!$I$58</c:f>
              <c:strCache>
                <c:ptCount val="1"/>
                <c:pt idx="0">
                  <c:v>polyimide in dichloromethane</c:v>
                </c:pt>
              </c:strCache>
            </c:strRef>
          </c:tx>
          <c:spPr>
            <a:ln>
              <a:solidFill>
                <a:srgbClr val="9BBB59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Results!$E$58:$F$58</c:f>
              <c:numCache>
                <c:formatCode>General</c:formatCode>
                <c:ptCount val="2"/>
                <c:pt idx="0">
                  <c:v>-9.0996343914999578</c:v>
                </c:pt>
                <c:pt idx="1">
                  <c:v>-10.819144391499957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8-8822-4414-9EC4-7038DABCDEEE}"/>
            </c:ext>
          </c:extLst>
        </c:ser>
        <c:ser>
          <c:idx val="57"/>
          <c:order val="57"/>
          <c:tx>
            <c:strRef>
              <c:f>Results!$I$59</c:f>
              <c:strCache>
                <c:ptCount val="1"/>
                <c:pt idx="0">
                  <c:v>polyimide in tetrahydrofuran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Results!$E$59:$F$59</c:f>
              <c:numCache>
                <c:formatCode>General</c:formatCode>
                <c:ptCount val="2"/>
                <c:pt idx="0">
                  <c:v>-9.1548271658956573</c:v>
                </c:pt>
                <c:pt idx="1">
                  <c:v>-10.979157165895657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8822-4414-9EC4-7038DABCDEEE}"/>
            </c:ext>
          </c:extLst>
        </c:ser>
        <c:ser>
          <c:idx val="58"/>
          <c:order val="58"/>
          <c:tx>
            <c:strRef>
              <c:f>Results!$I$60</c:f>
              <c:strCache>
                <c:ptCount val="1"/>
                <c:pt idx="0">
                  <c:v>polymer_name in acetone</c:v>
                </c:pt>
              </c:strCache>
            </c:strRef>
          </c:tx>
          <c:spPr>
            <a:ln>
              <a:solidFill>
                <a:srgbClr val="F7964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Results!$E$60:$F$60</c:f>
              <c:numCache>
                <c:formatCode>General</c:formatCode>
                <c:ptCount val="2"/>
                <c:pt idx="0">
                  <c:v>-9.07</c:v>
                </c:pt>
                <c:pt idx="1">
                  <c:v>-10.36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A-8822-4414-9EC4-7038DABCDEEE}"/>
            </c:ext>
          </c:extLst>
        </c:ser>
        <c:ser>
          <c:idx val="59"/>
          <c:order val="59"/>
          <c:tx>
            <c:strRef>
              <c:f>Results!$I$61</c:f>
              <c:strCache>
                <c:ptCount val="1"/>
                <c:pt idx="0">
                  <c:v>polymer_name in tetrahydrofuran</c:v>
                </c:pt>
              </c:strCache>
            </c:strRef>
          </c:tx>
          <c:spPr>
            <a:ln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Results!$E$61:$F$61</c:f>
              <c:numCache>
                <c:formatCode>General</c:formatCode>
                <c:ptCount val="2"/>
                <c:pt idx="0">
                  <c:v>-9.2750138877805988</c:v>
                </c:pt>
                <c:pt idx="1">
                  <c:v>-10.816188887780598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B-8822-4414-9EC4-7038DABCDEEE}"/>
            </c:ext>
          </c:extLst>
        </c:ser>
        <c:ser>
          <c:idx val="60"/>
          <c:order val="60"/>
          <c:tx>
            <c:strRef>
              <c:f>Results!$I$62</c:f>
              <c:strCache>
                <c:ptCount val="1"/>
                <c:pt idx="0">
                  <c:v>polystyrene in acetone</c:v>
                </c:pt>
              </c:strCache>
            </c:strRef>
          </c:tx>
          <c:spPr>
            <a:ln>
              <a:solidFill>
                <a:srgbClr val="E26B0A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Results!$E$62:$F$62</c:f>
              <c:numCache>
                <c:formatCode>General</c:formatCode>
                <c:ptCount val="2"/>
                <c:pt idx="0">
                  <c:v>-9.0354147801682458</c:v>
                </c:pt>
                <c:pt idx="1">
                  <c:v>-10.391681780168245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8822-4414-9EC4-7038DABCDEEE}"/>
            </c:ext>
          </c:extLst>
        </c:ser>
        <c:ser>
          <c:idx val="61"/>
          <c:order val="61"/>
          <c:tx>
            <c:strRef>
              <c:f>Results!$I$63</c:f>
              <c:strCache>
                <c:ptCount val="1"/>
                <c:pt idx="0">
                  <c:v>polystyrene in acetone</c:v>
                </c:pt>
              </c:strCache>
            </c:strRef>
          </c:tx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Results!$E$63:$F$63</c:f>
              <c:numCache>
                <c:formatCode>General</c:formatCode>
                <c:ptCount val="2"/>
                <c:pt idx="0">
                  <c:v>-9.0354177801682454</c:v>
                </c:pt>
                <c:pt idx="1">
                  <c:v>-10.391687780168244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D-8822-4414-9EC4-7038DABCDEEE}"/>
            </c:ext>
          </c:extLst>
        </c:ser>
        <c:ser>
          <c:idx val="62"/>
          <c:order val="62"/>
          <c:tx>
            <c:strRef>
              <c:f>Results!$I$64</c:f>
              <c:strCache>
                <c:ptCount val="1"/>
                <c:pt idx="0">
                  <c:v>polystyrene in benzene</c:v>
                </c:pt>
              </c:strCache>
            </c:strRef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Results!$E$64:$F$64</c:f>
              <c:numCache>
                <c:formatCode>General</c:formatCode>
                <c:ptCount val="2"/>
                <c:pt idx="0">
                  <c:v>-9.32</c:v>
                </c:pt>
                <c:pt idx="1">
                  <c:v>-10.940000000000001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E-8822-4414-9EC4-7038DABCDEEE}"/>
            </c:ext>
          </c:extLst>
        </c:ser>
        <c:ser>
          <c:idx val="63"/>
          <c:order val="63"/>
          <c:tx>
            <c:strRef>
              <c:f>Results!$I$65</c:f>
              <c:strCache>
                <c:ptCount val="1"/>
                <c:pt idx="0">
                  <c:v>polystyrene in benzene</c:v>
                </c:pt>
              </c:strCache>
            </c:strRef>
          </c:tx>
          <c:spPr>
            <a:ln>
              <a:solidFill>
                <a:srgbClr val="1F497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Results!$E$65:$F$65</c:f>
              <c:numCache>
                <c:formatCode>General</c:formatCode>
                <c:ptCount val="2"/>
                <c:pt idx="0">
                  <c:v>-9.41</c:v>
                </c:pt>
                <c:pt idx="1">
                  <c:v>-10.88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8822-4414-9EC4-7038DABCDEEE}"/>
            </c:ext>
          </c:extLst>
        </c:ser>
        <c:ser>
          <c:idx val="64"/>
          <c:order val="64"/>
          <c:tx>
            <c:strRef>
              <c:f>Results!$I$66</c:f>
              <c:strCache>
                <c:ptCount val="1"/>
                <c:pt idx="0">
                  <c:v>polystyrene in benzene</c:v>
                </c:pt>
              </c:strCache>
            </c:strRef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Results!$E$66:$F$66</c:f>
              <c:numCache>
                <c:formatCode>General</c:formatCode>
                <c:ptCount val="2"/>
                <c:pt idx="0">
                  <c:v>-9.3034052978694142</c:v>
                </c:pt>
                <c:pt idx="1">
                  <c:v>-10.888305297869413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0-8822-4414-9EC4-7038DABCDEEE}"/>
            </c:ext>
          </c:extLst>
        </c:ser>
        <c:ser>
          <c:idx val="65"/>
          <c:order val="65"/>
          <c:tx>
            <c:strRef>
              <c:f>Results!$I$67</c:f>
              <c:strCache>
                <c:ptCount val="1"/>
                <c:pt idx="0">
                  <c:v>polystyrene in benzene</c:v>
                </c:pt>
              </c:strCache>
            </c:strRef>
          </c:tx>
          <c:spPr>
            <a:ln>
              <a:solidFill>
                <a:srgbClr val="9BBB59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Results!$E$67:$F$67</c:f>
              <c:numCache>
                <c:formatCode>General</c:formatCode>
                <c:ptCount val="2"/>
                <c:pt idx="0">
                  <c:v>-9.2756275447906855</c:v>
                </c:pt>
                <c:pt idx="1">
                  <c:v>-10.956857544790687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1-8822-4414-9EC4-7038DABCDEEE}"/>
            </c:ext>
          </c:extLst>
        </c:ser>
        <c:ser>
          <c:idx val="66"/>
          <c:order val="66"/>
          <c:tx>
            <c:strRef>
              <c:f>Results!$I$68</c:f>
              <c:strCache>
                <c:ptCount val="1"/>
                <c:pt idx="0">
                  <c:v>polystyrene in chloroform-d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Results!$E$68:$F$68</c:f>
              <c:numCache>
                <c:formatCode>General</c:formatCode>
                <c:ptCount val="2"/>
                <c:pt idx="0">
                  <c:v>-9.35</c:v>
                </c:pt>
                <c:pt idx="1">
                  <c:v>-10.73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8822-4414-9EC4-7038DABCDEEE}"/>
            </c:ext>
          </c:extLst>
        </c:ser>
        <c:ser>
          <c:idx val="67"/>
          <c:order val="67"/>
          <c:tx>
            <c:strRef>
              <c:f>Results!$I$69</c:f>
              <c:strCache>
                <c:ptCount val="1"/>
                <c:pt idx="0">
                  <c:v>polystyrene in chloroform-d</c:v>
                </c:pt>
              </c:strCache>
            </c:strRef>
          </c:tx>
          <c:spPr>
            <a:ln>
              <a:solidFill>
                <a:srgbClr val="F7964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Results!$E$69:$F$69</c:f>
              <c:numCache>
                <c:formatCode>General</c:formatCode>
                <c:ptCount val="2"/>
                <c:pt idx="0">
                  <c:v>-9.2342531506898293</c:v>
                </c:pt>
                <c:pt idx="1">
                  <c:v>-10.83828415068983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3-8822-4414-9EC4-7038DABCDEEE}"/>
            </c:ext>
          </c:extLst>
        </c:ser>
        <c:ser>
          <c:idx val="68"/>
          <c:order val="68"/>
          <c:tx>
            <c:strRef>
              <c:f>Results!$I$70</c:f>
              <c:strCache>
                <c:ptCount val="1"/>
                <c:pt idx="0">
                  <c:v>polystyrene in chloroform-d</c:v>
                </c:pt>
              </c:strCache>
            </c:strRef>
          </c:tx>
          <c:spPr>
            <a:ln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Results!$E$70:$F$70</c:f>
              <c:numCache>
                <c:formatCode>General</c:formatCode>
                <c:ptCount val="2"/>
                <c:pt idx="0">
                  <c:v>-9.2105412248176428</c:v>
                </c:pt>
                <c:pt idx="1">
                  <c:v>-10.897711224817643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8822-4414-9EC4-7038DABCDEEE}"/>
            </c:ext>
          </c:extLst>
        </c:ser>
        <c:ser>
          <c:idx val="69"/>
          <c:order val="69"/>
          <c:tx>
            <c:strRef>
              <c:f>Results!$I$71</c:f>
              <c:strCache>
                <c:ptCount val="1"/>
                <c:pt idx="0">
                  <c:v>polystyrene in dichloromethane</c:v>
                </c:pt>
              </c:strCache>
            </c:strRef>
          </c:tx>
          <c:spPr>
            <a:ln>
              <a:solidFill>
                <a:srgbClr val="E26B0A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Results!$E$71:$F$71</c:f>
              <c:numCache>
                <c:formatCode>General</c:formatCode>
                <c:ptCount val="2"/>
                <c:pt idx="0">
                  <c:v>-9.1260255425054808</c:v>
                </c:pt>
                <c:pt idx="1">
                  <c:v>-10.69038454250548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5-8822-4414-9EC4-7038DABCDEEE}"/>
            </c:ext>
          </c:extLst>
        </c:ser>
        <c:ser>
          <c:idx val="70"/>
          <c:order val="70"/>
          <c:tx>
            <c:strRef>
              <c:f>Results!$I$72</c:f>
              <c:strCache>
                <c:ptCount val="1"/>
                <c:pt idx="0">
                  <c:v>polystyrene in dichloromethane</c:v>
                </c:pt>
              </c:strCache>
            </c:strRef>
          </c:tx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Results!$E$72:$F$72</c:f>
              <c:numCache>
                <c:formatCode>General</c:formatCode>
                <c:ptCount val="2"/>
                <c:pt idx="0">
                  <c:v>-9.0915739329795429</c:v>
                </c:pt>
                <c:pt idx="1">
                  <c:v>-10.776433932979543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6-8822-4414-9EC4-7038DABCDEEE}"/>
            </c:ext>
          </c:extLst>
        </c:ser>
        <c:ser>
          <c:idx val="71"/>
          <c:order val="71"/>
          <c:tx>
            <c:strRef>
              <c:f>Results!$I$73</c:f>
              <c:strCache>
                <c:ptCount val="1"/>
                <c:pt idx="0">
                  <c:v>polystyrene in tetrahydrofuran</c:v>
                </c:pt>
              </c:strCache>
            </c:strRef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Results!$E$73:$F$73</c:f>
              <c:numCache>
                <c:formatCode>General</c:formatCode>
                <c:ptCount val="2"/>
                <c:pt idx="0">
                  <c:v>-9.33</c:v>
                </c:pt>
                <c:pt idx="1">
                  <c:v>-10.59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7-8822-4414-9EC4-7038DABCDEEE}"/>
            </c:ext>
          </c:extLst>
        </c:ser>
        <c:ser>
          <c:idx val="72"/>
          <c:order val="72"/>
          <c:tx>
            <c:strRef>
              <c:f>Results!$I$74</c:f>
              <c:strCache>
                <c:ptCount val="1"/>
                <c:pt idx="0">
                  <c:v>polystyrene in tetrahydrofuran</c:v>
                </c:pt>
              </c:strCache>
            </c:strRef>
          </c:tx>
          <c:spPr>
            <a:ln>
              <a:solidFill>
                <a:srgbClr val="1F497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Results!$E$74:$F$74</c:f>
              <c:numCache>
                <c:formatCode>General</c:formatCode>
                <c:ptCount val="2"/>
                <c:pt idx="0">
                  <c:v>-9.2139226739845519</c:v>
                </c:pt>
                <c:pt idx="1">
                  <c:v>-10.772005673984552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8-8822-4414-9EC4-7038DABCDEEE}"/>
            </c:ext>
          </c:extLst>
        </c:ser>
        <c:ser>
          <c:idx val="73"/>
          <c:order val="73"/>
          <c:tx>
            <c:strRef>
              <c:f>Results!$I$75</c:f>
              <c:strCache>
                <c:ptCount val="1"/>
                <c:pt idx="0">
                  <c:v>polystyrene in tetrahydrofuran</c:v>
                </c:pt>
              </c:strCache>
            </c:strRef>
          </c:tx>
          <c:spPr>
            <a:ln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Results!$E$75:$F$75</c:f>
              <c:numCache>
                <c:formatCode>General</c:formatCode>
                <c:ptCount val="2"/>
                <c:pt idx="0">
                  <c:v>-9.1788275116883113</c:v>
                </c:pt>
                <c:pt idx="1">
                  <c:v>-10.860027511688312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9-8822-4414-9EC4-7038DABCDEEE}"/>
            </c:ext>
          </c:extLst>
        </c:ser>
        <c:ser>
          <c:idx val="74"/>
          <c:order val="74"/>
          <c:tx>
            <c:strRef>
              <c:f>Results!$I$76</c:f>
              <c:strCache>
                <c:ptCount val="1"/>
                <c:pt idx="0">
                  <c:v>polystyrene in toluene</c:v>
                </c:pt>
              </c:strCache>
            </c:strRef>
          </c:tx>
          <c:spPr>
            <a:ln>
              <a:solidFill>
                <a:srgbClr val="9BBB59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Results!$E$76:$F$76</c:f>
              <c:numCache>
                <c:formatCode>General</c:formatCode>
                <c:ptCount val="2"/>
                <c:pt idx="0">
                  <c:v>-9.35</c:v>
                </c:pt>
                <c:pt idx="1">
                  <c:v>-10.88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A-8822-4414-9EC4-7038DABCDEEE}"/>
            </c:ext>
          </c:extLst>
        </c:ser>
        <c:ser>
          <c:idx val="75"/>
          <c:order val="75"/>
          <c:tx>
            <c:strRef>
              <c:f>Results!$I$77</c:f>
              <c:strCache>
                <c:ptCount val="1"/>
                <c:pt idx="0">
                  <c:v>polystyrene in toluene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Results!$E$77:$F$77</c:f>
              <c:numCache>
                <c:formatCode>General</c:formatCode>
                <c:ptCount val="2"/>
                <c:pt idx="0">
                  <c:v>-9.263272622607559</c:v>
                </c:pt>
                <c:pt idx="1">
                  <c:v>-10.856467622607559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B-8822-4414-9EC4-7038DABCDEEE}"/>
            </c:ext>
          </c:extLst>
        </c:ser>
        <c:ser>
          <c:idx val="76"/>
          <c:order val="76"/>
          <c:tx>
            <c:strRef>
              <c:f>Results!$I$78</c:f>
              <c:strCache>
                <c:ptCount val="1"/>
                <c:pt idx="0">
                  <c:v>polystyrene in toluene</c:v>
                </c:pt>
              </c:strCache>
            </c:strRef>
          </c:tx>
          <c:spPr>
            <a:ln>
              <a:solidFill>
                <a:srgbClr val="F7964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Results!$E$78:$F$78</c:f>
              <c:numCache>
                <c:formatCode>General</c:formatCode>
                <c:ptCount val="2"/>
                <c:pt idx="0">
                  <c:v>-9.2632535592045482</c:v>
                </c:pt>
                <c:pt idx="1">
                  <c:v>-10.856433559204547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C-8822-4414-9EC4-7038DABCDEEE}"/>
            </c:ext>
          </c:extLst>
        </c:ser>
        <c:ser>
          <c:idx val="77"/>
          <c:order val="77"/>
          <c:tx>
            <c:strRef>
              <c:f>Results!$I$79</c:f>
              <c:strCache>
                <c:ptCount val="1"/>
                <c:pt idx="0">
                  <c:v>pullulan in deuterium oxide</c:v>
                </c:pt>
              </c:strCache>
            </c:strRef>
          </c:tx>
          <c:spPr>
            <a:ln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numRef>
              <c:f>Results!$E$1:$F$1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cat>
          <c:val>
            <c:numRef>
              <c:f>Results!$E$79:$F$79</c:f>
              <c:numCache>
                <c:formatCode>General</c:formatCode>
                <c:ptCount val="2"/>
                <c:pt idx="0">
                  <c:v>-9.67</c:v>
                </c:pt>
                <c:pt idx="1">
                  <c:v>-11.139999999999999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D-8822-4414-9EC4-7038DABCD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log(M / g mol⁻¹)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-8.5299999999999994"/>
          <c:min val="-11.8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log(D / m² s⁻¹)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190499</xdr:rowOff>
    </xdr:from>
    <xdr:ext cx="6850379" cy="57531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9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1" max="1" width="43.44140625" customWidth="1"/>
    <col min="2" max="2" width="23" customWidth="1"/>
    <col min="3" max="3" width="19.6640625" customWidth="1"/>
    <col min="4" max="4" width="15.77734375" customWidth="1"/>
    <col min="5" max="5" width="16.44140625" customWidth="1"/>
    <col min="6" max="6" width="15.109375" customWidth="1"/>
    <col min="7" max="7" width="149" customWidth="1"/>
    <col min="8" max="8" width="14" customWidth="1"/>
    <col min="9" max="9" width="13" hidden="1" customWidth="1"/>
    <col min="10" max="10" width="14" customWidth="1"/>
    <col min="11" max="11" width="18" customWidth="1"/>
    <col min="12" max="12" width="36.6640625" customWidth="1"/>
    <col min="13" max="14" width="14" customWidth="1"/>
    <col min="15" max="18" width="13" hidden="1" customWidth="1"/>
  </cols>
  <sheetData>
    <row r="1" spans="1:18" ht="16.8" x14ac:dyDescent="0.3">
      <c r="A1" s="2" t="s">
        <v>74</v>
      </c>
      <c r="B1" s="2" t="s">
        <v>75</v>
      </c>
      <c r="C1" s="2" t="s">
        <v>239</v>
      </c>
      <c r="D1" s="2" t="s">
        <v>238</v>
      </c>
      <c r="E1" s="2">
        <v>3</v>
      </c>
      <c r="F1" s="2">
        <v>6</v>
      </c>
      <c r="G1" s="2" t="s">
        <v>54</v>
      </c>
      <c r="H1" s="2" t="s">
        <v>79</v>
      </c>
      <c r="K1" s="14" t="s">
        <v>80</v>
      </c>
      <c r="L1" s="15"/>
    </row>
    <row r="2" spans="1:18" ht="15" x14ac:dyDescent="0.35">
      <c r="A2" s="3" t="s">
        <v>81</v>
      </c>
      <c r="B2" s="3" t="s">
        <v>82</v>
      </c>
      <c r="C2" s="4">
        <v>-8.14</v>
      </c>
      <c r="D2" s="4">
        <v>0.47</v>
      </c>
      <c r="E2" s="4">
        <f>IF(AND(OR(LEFT($L$2, 3)="All", $L$2="", $L$2=A2, AND(LEFT($L$2, LEN(A2))=A2, MID($L$2, LEN(A2)+1, 2)=" (")), OR(LEFT($L$3, 3)="All", $L$3="", $L$3=B2, AND(LEFT($L$3, LEN(B2))=B2, MID($L$3, LEN(B2)+1, 2)=" ("))), C2-D2*3, NA())</f>
        <v>-9.5500000000000007</v>
      </c>
      <c r="F2" s="4">
        <f>IF(AND(OR(LEFT($L$2, 3)="All", $L$2="", $L$2=A2, AND(LEFT($L$2, LEN(A2))=A2, MID($L$2, LEN(A2)+1, 2)=" (")), OR(LEFT($L$3, 3)="All", $L$3="", $L$3=B2, AND(LEFT($L$3, LEN(B2))=B2, MID($L$3, LEN(B2)+1, 2)=" ("))), C2-D2*6, NA())</f>
        <v>-10.96</v>
      </c>
      <c r="G2" s="3" t="s">
        <v>68</v>
      </c>
      <c r="H2" s="3" t="s">
        <v>84</v>
      </c>
      <c r="I2" s="3" t="str">
        <f>IF(AND(OR(LEFT($L$2, 3)="All", $L$2=""), OR(LEFT($L$3, 3)="All", $L$3="")), A2 &amp; " in " &amp; B2, IF(OR(LEFT($L$2, 3)&lt;&gt;"All", $L$2&lt;=""), B2, A2))</f>
        <v>dextran in deuterium oxide</v>
      </c>
      <c r="K2" s="5" t="s">
        <v>85</v>
      </c>
      <c r="L2" s="3" t="s">
        <v>237</v>
      </c>
      <c r="O2" s="6" t="s">
        <v>86</v>
      </c>
      <c r="P2" s="6" t="s">
        <v>86</v>
      </c>
      <c r="Q2" s="6" t="str">
        <f>P2 &amp; " (" &amp; COUNTIFS($A$2:$A$79, IF(OR(LEFT($L$2, 3)="All", $L$2=""), "*", LEFT($L$2, IF(ISNUMBER(SEARCH(" (", $L$2)), SEARCH(" (", $L$2)-1, LEN($L$2))))) &amp; ")"</f>
        <v>All (78)</v>
      </c>
      <c r="R2" s="6" t="str">
        <f>O2 &amp; " (" &amp; COUNTIFS($B$2:$B$79, IF(OR(LEFT($L$3, 3)="All", $L$3=""), "*", LEFT($L$3, IF(ISNUMBER(SEARCH(" (", $L$3)), SEARCH(" (", $L$3)-1, LEN($L$3))))) &amp; ")"</f>
        <v>All (78)</v>
      </c>
    </row>
    <row r="3" spans="1:18" ht="15" x14ac:dyDescent="0.35">
      <c r="A3" s="3" t="s">
        <v>87</v>
      </c>
      <c r="B3" s="3" t="s">
        <v>88</v>
      </c>
      <c r="C3" s="4">
        <v>-7.9036462400067053</v>
      </c>
      <c r="D3" s="4">
        <v>0.48882999999999999</v>
      </c>
      <c r="E3" s="4">
        <f>IF(AND(OR(LEFT($L$2, 3)="All", $L$2="", $L$2=A3, AND(LEFT($L$2, LEN(A3))=A3, MID($L$2, LEN(A3)+1, 2)=" (")), OR(LEFT($L$3, 3)="All", $L$3="", $L$3=B3, AND(LEFT($L$3, LEN(B3))=B3, MID($L$3, LEN(B3)+1, 2)=" ("))), C3-D3*3, NA())</f>
        <v>-9.3701362400067048</v>
      </c>
      <c r="F3" s="4">
        <f>IF(AND(OR(LEFT($L$2, 3)="All", $L$2="", $L$2=A3, AND(LEFT($L$2, LEN(A3))=A3, MID($L$2, LEN(A3)+1, 2)=" (")), OR(LEFT($L$3, 3)="All", $L$3="", $L$3=B3, AND(LEFT($L$3, LEN(B3))=B3, MID($L$3, LEN(B3)+1, 2)=" ("))), C3-D3*6, NA())</f>
        <v>-10.836626240006705</v>
      </c>
      <c r="G3" s="3" t="s">
        <v>73</v>
      </c>
      <c r="H3" s="3" t="s">
        <v>89</v>
      </c>
      <c r="I3" s="3" t="str">
        <f>IF(AND(OR(LEFT($L$2, 3)="All", $L$2=""), OR(LEFT($L$3, 3)="All", $L$3="")), A3 &amp; " in " &amp; B3, IF(OR(LEFT($L$2, 3)&lt;&gt;"All", $L$2&lt;=""), B3, A3))</f>
        <v>poly(2-vinylpyridine) in benzene</v>
      </c>
      <c r="K3" s="5" t="s">
        <v>90</v>
      </c>
      <c r="L3" s="3" t="s">
        <v>237</v>
      </c>
      <c r="O3" s="6" t="s">
        <v>81</v>
      </c>
      <c r="P3" s="6" t="s">
        <v>91</v>
      </c>
      <c r="Q3" s="6" t="str">
        <f>P3 &amp; " (" &amp; COUNTIFS($A$2:$A$79, IF(OR(LEFT($L$2, 3)="All", $L$2=""), "*", LEFT($L$2, IF(ISNUMBER(SEARCH(" (", $L$2)), SEARCH(" (", $L$2)-1, LEN($L$2)))), $B$2:$B$79, P3) &amp; ")"</f>
        <v>acetone (9)</v>
      </c>
      <c r="R3" s="6" t="str">
        <f>O3 &amp; " (" &amp; COUNTIFS($A$2:$A$79, O3, $B$2:$B$79, IF(OR(LEFT($L$3, 3)="All", $L$3=""), "*", LEFT($L$3, IF(ISNUMBER(SEARCH(" (", $L$3)), SEARCH(" (", $L$3)-1, LEN($L$3))))) &amp; ")"</f>
        <v>dextran (1)</v>
      </c>
    </row>
    <row r="4" spans="1:18" ht="15" x14ac:dyDescent="0.35">
      <c r="A4" s="3" t="s">
        <v>87</v>
      </c>
      <c r="B4" s="3" t="s">
        <v>92</v>
      </c>
      <c r="C4" s="4">
        <v>-7.5775907433903011</v>
      </c>
      <c r="D4" s="4">
        <v>0.48882999999999999</v>
      </c>
      <c r="E4" s="4">
        <f>IF(AND(OR(LEFT($L$2, 3)="All", $L$2="", $L$2=A4, AND(LEFT($L$2, LEN(A4))=A4, MID($L$2, LEN(A4)+1, 2)=" (")), OR(LEFT($L$3, 3)="All", $L$3="", $L$3=B4, AND(LEFT($L$3, LEN(B4))=B4, MID($L$3, LEN(B4)+1, 2)=" ("))), C4-D4*3, NA())</f>
        <v>-9.0440807433903014</v>
      </c>
      <c r="F4" s="4">
        <f>IF(AND(OR(LEFT($L$2, 3)="All", $L$2="", $L$2=A4, AND(LEFT($L$2, LEN(A4))=A4, MID($L$2, LEN(A4)+1, 2)=" (")), OR(LEFT($L$3, 3)="All", $L$3="", $L$3=B4, AND(LEFT($L$3, LEN(B4))=B4, MID($L$3, LEN(B4)+1, 2)=" ("))), C4-D4*6, NA())</f>
        <v>-10.5105707433903</v>
      </c>
      <c r="G4" s="3" t="s">
        <v>73</v>
      </c>
      <c r="H4" s="3" t="s">
        <v>89</v>
      </c>
      <c r="I4" s="3" t="str">
        <f>IF(AND(OR(LEFT($L$2, 3)="All", $L$2=""), OR(LEFT($L$3, 3)="All", $L$3="")), A4 &amp; " in " &amp; B4, IF(OR(LEFT($L$2, 3)&lt;&gt;"All", $L$2&lt;=""), B4, A4))</f>
        <v>poly(2-vinylpyridine) in chloroform-d</v>
      </c>
      <c r="O4" s="6" t="s">
        <v>87</v>
      </c>
      <c r="P4" s="6" t="s">
        <v>93</v>
      </c>
      <c r="Q4" s="6" t="str">
        <f>P4 &amp; " (" &amp; COUNTIFS($A$2:$A$79, IF(OR(LEFT($L$2, 3)="All", $L$2=""), "*", LEFT($L$2, IF(ISNUMBER(SEARCH(" (", $L$2)), SEARCH(" (", $L$2)-1, LEN($L$2)))), $B$2:$B$79, P4) &amp; ")"</f>
        <v>acetonitrile-d3 (3)</v>
      </c>
      <c r="R4" s="6" t="str">
        <f>O4 &amp; " (" &amp; COUNTIFS($A$2:$A$79, O4, $B$2:$B$79, IF(OR(LEFT($L$3, 3)="All", $L$3=""), "*", LEFT($L$3, IF(ISNUMBER(SEARCH(" (", $L$3)), SEARCH(" (", $L$3)-1, LEN($L$3))))) &amp; ")"</f>
        <v>poly(2-vinylpyridine) (4)</v>
      </c>
    </row>
    <row r="5" spans="1:18" ht="15" x14ac:dyDescent="0.35">
      <c r="A5" s="3" t="s">
        <v>87</v>
      </c>
      <c r="B5" s="3" t="s">
        <v>94</v>
      </c>
      <c r="C5" s="4">
        <v>-7.9471137647436194</v>
      </c>
      <c r="D5" s="4">
        <v>0.53395999999999999</v>
      </c>
      <c r="E5" s="4">
        <f>IF(AND(OR(LEFT($L$2, 3)="All", $L$2="", $L$2=A5, AND(LEFT($L$2, LEN(A5))=A5, MID($L$2, LEN(A5)+1, 2)=" (")), OR(LEFT($L$3, 3)="All", $L$3="", $L$3=B5, AND(LEFT($L$3, LEN(B5))=B5, MID($L$3, LEN(B5)+1, 2)=" ("))), C5-D5*3, NA())</f>
        <v>-9.5489937647436189</v>
      </c>
      <c r="F5" s="4">
        <f>IF(AND(OR(LEFT($L$2, 3)="All", $L$2="", $L$2=A5, AND(LEFT($L$2, LEN(A5))=A5, MID($L$2, LEN(A5)+1, 2)=" (")), OR(LEFT($L$3, 3)="All", $L$3="", $L$3=B5, AND(LEFT($L$3, LEN(B5))=B5, MID($L$3, LEN(B5)+1, 2)=" ("))), C5-D5*6, NA())</f>
        <v>-11.150873764743618</v>
      </c>
      <c r="G5" s="3" t="s">
        <v>73</v>
      </c>
      <c r="H5" s="3" t="s">
        <v>89</v>
      </c>
      <c r="I5" s="3" t="str">
        <f>IF(AND(OR(LEFT($L$2, 3)="All", $L$2=""), OR(LEFT($L$3, 3)="All", $L$3="")), A5 &amp; " in " &amp; B5, IF(OR(LEFT($L$2, 3)&lt;&gt;"All", $L$2&lt;=""), B5, A5))</f>
        <v>poly(2-vinylpyridine) in dichloromethane</v>
      </c>
      <c r="O5" s="6" t="s">
        <v>95</v>
      </c>
      <c r="P5" s="6" t="s">
        <v>88</v>
      </c>
      <c r="Q5" s="6" t="str">
        <f>P5 &amp; " (" &amp; COUNTIFS($A$2:$A$79, IF(OR(LEFT($L$2, 3)="All", $L$2=""), "*", LEFT($L$2, IF(ISNUMBER(SEARCH(" (", $L$2)), SEARCH(" (", $L$2)-1, LEN($L$2)))), $B$2:$B$79, P5) &amp; ")"</f>
        <v>benzene (16)</v>
      </c>
      <c r="R5" s="6" t="str">
        <f>O5 &amp; " (" &amp; COUNTIFS($A$2:$A$79, O5, $B$2:$B$79, IF(OR(LEFT($L$3, 3)="All", $L$3=""), "*", LEFT($L$3, IF(ISNUMBER(SEARCH(" (", $L$3)), SEARCH(" (", $L$3)-1, LEN($L$3))))) &amp; ")"</f>
        <v>poly(butyl acrylate) (2)</v>
      </c>
    </row>
    <row r="6" spans="1:18" ht="15" x14ac:dyDescent="0.35">
      <c r="A6" s="3" t="s">
        <v>87</v>
      </c>
      <c r="B6" s="3" t="s">
        <v>96</v>
      </c>
      <c r="C6" s="4">
        <v>-7.739952475004678</v>
      </c>
      <c r="D6" s="4">
        <v>0.50490000000000002</v>
      </c>
      <c r="E6" s="4">
        <f>IF(AND(OR(LEFT($L$2, 3)="All", $L$2="", $L$2=A6, AND(LEFT($L$2, LEN(A6))=A6, MID($L$2, LEN(A6)+1, 2)=" (")), OR(LEFT($L$3, 3)="All", $L$3="", $L$3=B6, AND(LEFT($L$3, LEN(B6))=B6, MID($L$3, LEN(B6)+1, 2)=" ("))), C6-D6*3, NA())</f>
        <v>-9.2546524750046775</v>
      </c>
      <c r="F6" s="4">
        <f>IF(AND(OR(LEFT($L$2, 3)="All", $L$2="", $L$2=A6, AND(LEFT($L$2, LEN(A6))=A6, MID($L$2, LEN(A6)+1, 2)=" (")), OR(LEFT($L$3, 3)="All", $L$3="", $L$3=B6, AND(LEFT($L$3, LEN(B6))=B6, MID($L$3, LEN(B6)+1, 2)=" ("))), C6-D6*6, NA())</f>
        <v>-10.769352475004677</v>
      </c>
      <c r="G6" s="3" t="s">
        <v>73</v>
      </c>
      <c r="H6" s="3" t="s">
        <v>89</v>
      </c>
      <c r="I6" s="3" t="str">
        <f>IF(AND(OR(LEFT($L$2, 3)="All", $L$2=""), OR(LEFT($L$3, 3)="All", $L$3="")), A6 &amp; " in " &amp; B6, IF(OR(LEFT($L$2, 3)&lt;&gt;"All", $L$2&lt;=""), B6, A6))</f>
        <v>poly(2-vinylpyridine) in tetrahydrofuran</v>
      </c>
      <c r="O6" s="6" t="s">
        <v>97</v>
      </c>
      <c r="P6" s="6" t="s">
        <v>92</v>
      </c>
      <c r="Q6" s="6" t="str">
        <f>P6 &amp; " (" &amp; COUNTIFS($A$2:$A$79, IF(OR(LEFT($L$2, 3)="All", $L$2=""), "*", LEFT($L$2, IF(ISNUMBER(SEARCH(" (", $L$2)), SEARCH(" (", $L$2)-1, LEN($L$2)))), $B$2:$B$79, P6) &amp; ")"</f>
        <v>chloroform-d (8)</v>
      </c>
      <c r="R6" s="6" t="str">
        <f>O6 &amp; " (" &amp; COUNTIFS($A$2:$A$79, O6, $B$2:$B$79, IF(OR(LEFT($L$3, 3)="All", $L$3=""), "*", LEFT($L$3, IF(ISNUMBER(SEARCH(" (", $L$3)), SEARCH(" (", $L$3)-1, LEN($L$3))))) &amp; ")"</f>
        <v>poly(ethylene glycol methyl ether methacrylate) (2)</v>
      </c>
    </row>
    <row r="7" spans="1:18" ht="15" x14ac:dyDescent="0.35">
      <c r="A7" s="3" t="s">
        <v>95</v>
      </c>
      <c r="B7" s="3" t="s">
        <v>91</v>
      </c>
      <c r="C7" s="4">
        <v>-7.56</v>
      </c>
      <c r="D7" s="4">
        <v>0.5</v>
      </c>
      <c r="E7" s="4">
        <f>IF(AND(OR(LEFT($L$2, 3)="All", $L$2="", $L$2=A7, AND(LEFT($L$2, LEN(A7))=A7, MID($L$2, LEN(A7)+1, 2)=" (")), OR(LEFT($L$3, 3)="All", $L$3="", $L$3=B7, AND(LEFT($L$3, LEN(B7))=B7, MID($L$3, LEN(B7)+1, 2)=" ("))), C7-D7*3, NA())</f>
        <v>-9.0599999999999987</v>
      </c>
      <c r="F7" s="4">
        <f>IF(AND(OR(LEFT($L$2, 3)="All", $L$2="", $L$2=A7, AND(LEFT($L$2, LEN(A7))=A7, MID($L$2, LEN(A7)+1, 2)=" (")), OR(LEFT($L$3, 3)="All", $L$3="", $L$3=B7, AND(LEFT($L$3, LEN(B7))=B7, MID($L$3, LEN(B7)+1, 2)=" ("))), C7-D7*6, NA())</f>
        <v>-10.559999999999999</v>
      </c>
      <c r="G7" s="3" t="s">
        <v>71</v>
      </c>
      <c r="H7" s="3" t="s">
        <v>98</v>
      </c>
      <c r="I7" s="3" t="str">
        <f>IF(AND(OR(LEFT($L$2, 3)="All", $L$2=""), OR(LEFT($L$3, 3)="All", $L$3="")), A7 &amp; " in " &amp; B7, IF(OR(LEFT($L$2, 3)&lt;&gt;"All", $L$2&lt;=""), B7, A7))</f>
        <v>poly(butyl acrylate) in acetone</v>
      </c>
      <c r="O7" s="6" t="s">
        <v>99</v>
      </c>
      <c r="P7" s="6" t="s">
        <v>82</v>
      </c>
      <c r="Q7" s="6" t="str">
        <f>P7 &amp; " (" &amp; COUNTIFS($A$2:$A$79, IF(OR(LEFT($L$2, 3)="All", $L$2=""), "*", LEFT($L$2, IF(ISNUMBER(SEARCH(" (", $L$2)), SEARCH(" (", $L$2)-1, LEN($L$2)))), $B$2:$B$79, P7) &amp; ")"</f>
        <v>deuterium oxide (13)</v>
      </c>
      <c r="R7" s="6" t="str">
        <f>O7 &amp; " (" &amp; COUNTIFS($A$2:$A$79, O7, $B$2:$B$79, IF(OR(LEFT($L$3, 3)="All", $L$3=""), "*", LEFT($L$3, IF(ISNUMBER(SEARCH(" (", $L$3)), SEARCH(" (", $L$3)-1, LEN($L$3))))) &amp; ")"</f>
        <v>poly(ethylene oxide) (23)</v>
      </c>
    </row>
    <row r="8" spans="1:18" ht="15" x14ac:dyDescent="0.35">
      <c r="A8" s="3" t="s">
        <v>95</v>
      </c>
      <c r="B8" s="3" t="s">
        <v>88</v>
      </c>
      <c r="C8" s="4">
        <v>-7.83</v>
      </c>
      <c r="D8" s="4">
        <v>0.51</v>
      </c>
      <c r="E8" s="4">
        <f>IF(AND(OR(LEFT($L$2, 3)="All", $L$2="", $L$2=A8, AND(LEFT($L$2, LEN(A8))=A8, MID($L$2, LEN(A8)+1, 2)=" (")), OR(LEFT($L$3, 3)="All", $L$3="", $L$3=B8, AND(LEFT($L$3, LEN(B8))=B8, MID($L$3, LEN(B8)+1, 2)=" ("))), C8-D8*3, NA())</f>
        <v>-9.36</v>
      </c>
      <c r="F8" s="4">
        <f>IF(AND(OR(LEFT($L$2, 3)="All", $L$2="", $L$2=A8, AND(LEFT($L$2, LEN(A8))=A8, MID($L$2, LEN(A8)+1, 2)=" (")), OR(LEFT($L$3, 3)="All", $L$3="", $L$3=B8, AND(LEFT($L$3, LEN(B8))=B8, MID($L$3, LEN(B8)+1, 2)=" ("))), C8-D8*6, NA())</f>
        <v>-10.89</v>
      </c>
      <c r="G8" s="3" t="s">
        <v>71</v>
      </c>
      <c r="H8" s="3" t="s">
        <v>98</v>
      </c>
      <c r="I8" s="3" t="str">
        <f>IF(AND(OR(LEFT($L$2, 3)="All", $L$2=""), OR(LEFT($L$3, 3)="All", $L$3="")), A8 &amp; " in " &amp; B8, IF(OR(LEFT($L$2, 3)&lt;&gt;"All", $L$2&lt;=""), B8, A8))</f>
        <v>poly(butyl acrylate) in benzene</v>
      </c>
      <c r="O8" s="6" t="s">
        <v>100</v>
      </c>
      <c r="P8" s="6" t="s">
        <v>94</v>
      </c>
      <c r="Q8" s="6" t="str">
        <f>P8 &amp; " (" &amp; COUNTIFS($A$2:$A$79, IF(OR(LEFT($L$2, 3)="All", $L$2=""), "*", LEFT($L$2, IF(ISNUMBER(SEARCH(" (", $L$2)), SEARCH(" (", $L$2)-1, LEN($L$2)))), $B$2:$B$79, P8) &amp; ")"</f>
        <v>dichloromethane (6)</v>
      </c>
      <c r="R8" s="6" t="str">
        <f>O8 &amp; " (" &amp; COUNTIFS($A$2:$A$79, O8, $B$2:$B$79, IF(OR(LEFT($L$3, 3)="All", $L$3=""), "*", LEFT($L$3, IF(ISNUMBER(SEARCH(" (", $L$3)), SEARCH(" (", $L$3)-1, LEN($L$3))))) &amp; ")"</f>
        <v>poly(methyl methacrylate) (22)</v>
      </c>
    </row>
    <row r="9" spans="1:18" ht="15" x14ac:dyDescent="0.35">
      <c r="A9" s="3" t="s">
        <v>97</v>
      </c>
      <c r="B9" s="3" t="s">
        <v>91</v>
      </c>
      <c r="C9" s="4">
        <v>-8.01</v>
      </c>
      <c r="D9" s="4">
        <v>0.39</v>
      </c>
      <c r="E9" s="4">
        <f>IF(AND(OR(LEFT($L$2, 3)="All", $L$2="", $L$2=A9, AND(LEFT($L$2, LEN(A9))=A9, MID($L$2, LEN(A9)+1, 2)=" (")), OR(LEFT($L$3, 3)="All", $L$3="", $L$3=B9, AND(LEFT($L$3, LEN(B9))=B9, MID($L$3, LEN(B9)+1, 2)=" ("))), C9-D9*3, NA())</f>
        <v>-9.18</v>
      </c>
      <c r="F9" s="4">
        <f>IF(AND(OR(LEFT($L$2, 3)="All", $L$2="", $L$2=A9, AND(LEFT($L$2, LEN(A9))=A9, MID($L$2, LEN(A9)+1, 2)=" (")), OR(LEFT($L$3, 3)="All", $L$3="", $L$3=B9, AND(LEFT($L$3, LEN(B9))=B9, MID($L$3, LEN(B9)+1, 2)=" ("))), C9-D9*6, NA())</f>
        <v>-10.35</v>
      </c>
      <c r="G9" s="3" t="s">
        <v>71</v>
      </c>
      <c r="H9" s="3" t="s">
        <v>101</v>
      </c>
      <c r="I9" s="3" t="str">
        <f>IF(AND(OR(LEFT($L$2, 3)="All", $L$2=""), OR(LEFT($L$3, 3)="All", $L$3="")), A9 &amp; " in " &amp; B9, IF(OR(LEFT($L$2, 3)&lt;&gt;"All", $L$2&lt;=""), B9, A9))</f>
        <v>poly(ethylene glycol methyl ether methacrylate) in acetone</v>
      </c>
      <c r="O9" s="6" t="s">
        <v>102</v>
      </c>
      <c r="P9" s="6" t="s">
        <v>103</v>
      </c>
      <c r="Q9" s="6" t="str">
        <f>P9 &amp; " (" &amp; COUNTIFS($A$2:$A$79, IF(OR(LEFT($L$2, 3)="All", $L$2=""), "*", LEFT($L$2, IF(ISNUMBER(SEARCH(" (", $L$2)), SEARCH(" (", $L$2)-1, LEN($L$2)))), $B$2:$B$79, P9) &amp; ")"</f>
        <v>dimethyl sulfoxide (2)</v>
      </c>
      <c r="R9" s="6" t="str">
        <f>O9 &amp; " (" &amp; COUNTIFS($A$2:$A$79, O9, $B$2:$B$79, IF(OR(LEFT($L$3, 3)="All", $L$3=""), "*", LEFT($L$3, IF(ISNUMBER(SEARCH(" (", $L$3)), SEARCH(" (", $L$3)-1, LEN($L$3))))) &amp; ")"</f>
        <v>polyimide (4)</v>
      </c>
    </row>
    <row r="10" spans="1:18" ht="15" x14ac:dyDescent="0.35">
      <c r="A10" s="3" t="s">
        <v>97</v>
      </c>
      <c r="B10" s="3" t="s">
        <v>104</v>
      </c>
      <c r="C10" s="4">
        <v>-8.31</v>
      </c>
      <c r="D10" s="4">
        <v>0.47</v>
      </c>
      <c r="E10" s="4">
        <f>IF(AND(OR(LEFT($L$2, 3)="All", $L$2="", $L$2=A10, AND(LEFT($L$2, LEN(A10))=A10, MID($L$2, LEN(A10)+1, 2)=" (")), OR(LEFT($L$3, 3)="All", $L$3="", $L$3=B10, AND(LEFT($L$3, LEN(B10))=B10, MID($L$3, LEN(B10)+1, 2)=" ("))), C10-D10*3, NA())</f>
        <v>-9.7200000000000006</v>
      </c>
      <c r="F10" s="4">
        <f>IF(AND(OR(LEFT($L$2, 3)="All", $L$2="", $L$2=A10, AND(LEFT($L$2, LEN(A10))=A10, MID($L$2, LEN(A10)+1, 2)=" (")), OR(LEFT($L$3, 3)="All", $L$3="", $L$3=B10, AND(LEFT($L$3, LEN(B10))=B10, MID($L$3, LEN(B10)+1, 2)=" ("))), C10-D10*6, NA())</f>
        <v>-11.13</v>
      </c>
      <c r="G10" s="3" t="s">
        <v>71</v>
      </c>
      <c r="H10" s="3" t="s">
        <v>101</v>
      </c>
      <c r="I10" s="3" t="str">
        <f>IF(AND(OR(LEFT($L$2, 3)="All", $L$2=""), OR(LEFT($L$3, 3)="All", $L$3="")), A10 &amp; " in " &amp; B10, IF(OR(LEFT($L$2, 3)&lt;&gt;"All", $L$2&lt;=""), B10, A10))</f>
        <v>poly(ethylene glycol methyl ether methacrylate) in water</v>
      </c>
      <c r="O10" s="6" t="s">
        <v>105</v>
      </c>
      <c r="P10" s="6" t="s">
        <v>106</v>
      </c>
      <c r="Q10" s="6" t="str">
        <f>P10 &amp; " (" &amp; COUNTIFS($A$2:$A$79, IF(OR(LEFT($L$2, 3)="All", $L$2=""), "*", LEFT($L$2, IF(ISNUMBER(SEARCH(" (", $L$2)), SEARCH(" (", $L$2)-1, LEN($L$2)))), $B$2:$B$79, P10) &amp; ")"</f>
        <v>methanol-d4 (3)</v>
      </c>
      <c r="R10" s="6" t="str">
        <f>O10 &amp; " (" &amp; COUNTIFS($A$2:$A$79, O10, $B$2:$B$79, IF(OR(LEFT($L$3, 3)="All", $L$3=""), "*", LEFT($L$3, IF(ISNUMBER(SEARCH(" (", $L$3)), SEARCH(" (", $L$3)-1, LEN($L$3))))) &amp; ")"</f>
        <v>polymer_name (2)</v>
      </c>
    </row>
    <row r="11" spans="1:18" ht="15" x14ac:dyDescent="0.35">
      <c r="A11" s="3" t="s">
        <v>99</v>
      </c>
      <c r="B11" s="3" t="s">
        <v>91</v>
      </c>
      <c r="C11" s="4">
        <v>-7.94</v>
      </c>
      <c r="D11" s="4">
        <v>0.41</v>
      </c>
      <c r="E11" s="4">
        <f>IF(AND(OR(LEFT($L$2, 3)="All", $L$2="", $L$2=A11, AND(LEFT($L$2, LEN(A11))=A11, MID($L$2, LEN(A11)+1, 2)=" (")), OR(LEFT($L$3, 3)="All", $L$3="", $L$3=B11, AND(LEFT($L$3, LEN(B11))=B11, MID($L$3, LEN(B11)+1, 2)=" ("))), C11-D11*3, NA())</f>
        <v>-9.17</v>
      </c>
      <c r="F11" s="4">
        <f>IF(AND(OR(LEFT($L$2, 3)="All", $L$2="", $L$2=A11, AND(LEFT($L$2, LEN(A11))=A11, MID($L$2, LEN(A11)+1, 2)=" (")), OR(LEFT($L$3, 3)="All", $L$3="", $L$3=B11, AND(LEFT($L$3, LEN(B11))=B11, MID($L$3, LEN(B11)+1, 2)=" ("))), C11-D11*6, NA())</f>
        <v>-10.4</v>
      </c>
      <c r="G11" s="3" t="s">
        <v>68</v>
      </c>
      <c r="H11" s="3" t="s">
        <v>98</v>
      </c>
      <c r="I11" s="3" t="str">
        <f>IF(AND(OR(LEFT($L$2, 3)="All", $L$2=""), OR(LEFT($L$3, 3)="All", $L$3="")), A11 &amp; " in " &amp; B11, IF(OR(LEFT($L$2, 3)&lt;&gt;"All", $L$2&lt;=""), B11, A11))</f>
        <v>poly(ethylene oxide) in acetone</v>
      </c>
      <c r="O11" s="6" t="s">
        <v>107</v>
      </c>
      <c r="P11" s="6" t="s">
        <v>99</v>
      </c>
      <c r="Q11" s="6" t="str">
        <f>P11 &amp; " (" &amp; COUNTIFS($A$2:$A$79, IF(OR(LEFT($L$2, 3)="All", $L$2=""), "*", LEFT($L$2, IF(ISNUMBER(SEARCH(" (", $L$2)), SEARCH(" (", $L$2)-1, LEN($L$2)))), $B$2:$B$79, P11) &amp; ")"</f>
        <v>poly(ethylene oxide) (1)</v>
      </c>
      <c r="R11" s="6" t="str">
        <f>O11 &amp; " (" &amp; COUNTIFS($A$2:$A$79, O11, $B$2:$B$79, IF(OR(LEFT($L$3, 3)="All", $L$3=""), "*", LEFT($L$3, IF(ISNUMBER(SEARCH(" (", $L$3)), SEARCH(" (", $L$3)-1, LEN($L$3))))) &amp; ")"</f>
        <v>polystyrene (17)</v>
      </c>
    </row>
    <row r="12" spans="1:18" ht="15" x14ac:dyDescent="0.35">
      <c r="A12" s="3" t="s">
        <v>99</v>
      </c>
      <c r="B12" s="3" t="s">
        <v>91</v>
      </c>
      <c r="C12" s="4">
        <v>-7.673502333065918</v>
      </c>
      <c r="D12" s="4">
        <v>0.47447699999999998</v>
      </c>
      <c r="E12" s="4">
        <f>IF(AND(OR(LEFT($L$2, 3)="All", $L$2="", $L$2=A12, AND(LEFT($L$2, LEN(A12))=A12, MID($L$2, LEN(A12)+1, 2)=" (")), OR(LEFT($L$3, 3)="All", $L$3="", $L$3=B12, AND(LEFT($L$3, LEN(B12))=B12, MID($L$3, LEN(B12)+1, 2)=" ("))), C12-D12*3, NA())</f>
        <v>-9.0969333330659179</v>
      </c>
      <c r="F12" s="4">
        <f>IF(AND(OR(LEFT($L$2, 3)="All", $L$2="", $L$2=A12, AND(LEFT($L$2, LEN(A12))=A12, MID($L$2, LEN(A12)+1, 2)=" (")), OR(LEFT($L$3, 3)="All", $L$3="", $L$3=B12, AND(LEFT($L$3, LEN(B12))=B12, MID($L$3, LEN(B12)+1, 2)=" ("))), C12-D12*6, NA())</f>
        <v>-10.520364333065917</v>
      </c>
      <c r="G12" s="3" t="s">
        <v>72</v>
      </c>
      <c r="H12" s="3" t="s">
        <v>84</v>
      </c>
      <c r="I12" s="3" t="str">
        <f>IF(AND(OR(LEFT($L$2, 3)="All", $L$2=""), OR(LEFT($L$3, 3)="All", $L$3="")), A12 &amp; " in " &amp; B12, IF(OR(LEFT($L$2, 3)&lt;&gt;"All", $L$2&lt;=""), B12, A12))</f>
        <v>poly(ethylene oxide) in acetone</v>
      </c>
      <c r="O12" s="6" t="s">
        <v>108</v>
      </c>
      <c r="P12" s="6" t="s">
        <v>96</v>
      </c>
      <c r="Q12" s="6" t="str">
        <f>P12 &amp; " (" &amp; COUNTIFS($A$2:$A$79, IF(OR(LEFT($L$2, 3)="All", $L$2=""), "*", LEFT($L$2, IF(ISNUMBER(SEARCH(" (", $L$2)), SEARCH(" (", $L$2)-1, LEN($L$2)))), $B$2:$B$79, P12) &amp; ")"</f>
        <v>tetrahydrofuran (11)</v>
      </c>
      <c r="R12" s="6" t="str">
        <f>O12 &amp; " (" &amp; COUNTIFS($A$2:$A$79, O12, $B$2:$B$79, IF(OR(LEFT($L$3, 3)="All", $L$3=""), "*", LEFT($L$3, IF(ISNUMBER(SEARCH(" (", $L$3)), SEARCH(" (", $L$3)-1, LEN($L$3))))) &amp; ")"</f>
        <v>pullulan (1)</v>
      </c>
    </row>
    <row r="13" spans="1:18" ht="15" x14ac:dyDescent="0.35">
      <c r="A13" s="3" t="s">
        <v>99</v>
      </c>
      <c r="B13" s="3" t="s">
        <v>91</v>
      </c>
      <c r="C13" s="4">
        <v>-7.6735002852749634</v>
      </c>
      <c r="D13" s="4">
        <v>0.47448000000000001</v>
      </c>
      <c r="E13" s="4">
        <f>IF(AND(OR(LEFT($L$2, 3)="All", $L$2="", $L$2=A13, AND(LEFT($L$2, LEN(A13))=A13, MID($L$2, LEN(A13)+1, 2)=" (")), OR(LEFT($L$3, 3)="All", $L$3="", $L$3=B13, AND(LEFT($L$3, LEN(B13))=B13, MID($L$3, LEN(B13)+1, 2)=" ("))), C13-D13*3, NA())</f>
        <v>-9.0969402852749628</v>
      </c>
      <c r="F13" s="4">
        <f>IF(AND(OR(LEFT($L$2, 3)="All", $L$2="", $L$2=A13, AND(LEFT($L$2, LEN(A13))=A13, MID($L$2, LEN(A13)+1, 2)=" (")), OR(LEFT($L$3, 3)="All", $L$3="", $L$3=B13, AND(LEFT($L$3, LEN(B13))=B13, MID($L$3, LEN(B13)+1, 2)=" ("))), C13-D13*6, NA())</f>
        <v>-10.520380285274964</v>
      </c>
      <c r="G13" s="3" t="s">
        <v>73</v>
      </c>
      <c r="H13" s="3" t="s">
        <v>109</v>
      </c>
      <c r="I13" s="3" t="str">
        <f>IF(AND(OR(LEFT($L$2, 3)="All", $L$2=""), OR(LEFT($L$3, 3)="All", $L$3="")), A13 &amp; " in " &amp; B13, IF(OR(LEFT($L$2, 3)&lt;&gt;"All", $L$2&lt;=""), B13, A13))</f>
        <v>poly(ethylene oxide) in acetone</v>
      </c>
      <c r="P13" s="6" t="s">
        <v>110</v>
      </c>
      <c r="Q13" s="6" t="str">
        <f>P13 &amp; " (" &amp; COUNTIFS($A$2:$A$79, IF(OR(LEFT($L$2, 3)="All", $L$2=""), "*", LEFT($L$2, IF(ISNUMBER(SEARCH(" (", $L$2)), SEARCH(" (", $L$2)-1, LEN($L$2)))), $B$2:$B$79, P13) &amp; ")"</f>
        <v>toluene (5)</v>
      </c>
    </row>
    <row r="14" spans="1:18" ht="15" x14ac:dyDescent="0.35">
      <c r="A14" s="3" t="s">
        <v>99</v>
      </c>
      <c r="B14" s="3" t="s">
        <v>93</v>
      </c>
      <c r="C14" s="4">
        <v>-7.88</v>
      </c>
      <c r="D14" s="4">
        <v>0.44</v>
      </c>
      <c r="E14" s="4">
        <f>IF(AND(OR(LEFT($L$2, 3)="All", $L$2="", $L$2=A14, AND(LEFT($L$2, LEN(A14))=A14, MID($L$2, LEN(A14)+1, 2)=" (")), OR(LEFT($L$3, 3)="All", $L$3="", $L$3=B14, AND(LEFT($L$3, LEN(B14))=B14, MID($L$3, LEN(B14)+1, 2)=" ("))), C14-D14*3, NA())</f>
        <v>-9.1999999999999993</v>
      </c>
      <c r="F14" s="4">
        <f>IF(AND(OR(LEFT($L$2, 3)="All", $L$2="", $L$2=A14, AND(LEFT($L$2, LEN(A14))=A14, MID($L$2, LEN(A14)+1, 2)=" (")), OR(LEFT($L$3, 3)="All", $L$3="", $L$3=B14, AND(LEFT($L$3, LEN(B14))=B14, MID($L$3, LEN(B14)+1, 2)=" ("))), C14-D14*6, NA())</f>
        <v>-10.52</v>
      </c>
      <c r="G14" s="3" t="s">
        <v>68</v>
      </c>
      <c r="H14" s="3" t="s">
        <v>98</v>
      </c>
      <c r="I14" s="3" t="str">
        <f>IF(AND(OR(LEFT($L$2, 3)="All", $L$2=""), OR(LEFT($L$3, 3)="All", $L$3="")), A14 &amp; " in " &amp; B14, IF(OR(LEFT($L$2, 3)&lt;&gt;"All", $L$2&lt;=""), B14, A14))</f>
        <v>poly(ethylene oxide) in acetonitrile-d3</v>
      </c>
      <c r="P14" s="6" t="s">
        <v>104</v>
      </c>
      <c r="Q14" s="6" t="str">
        <f>P14 &amp; " (" &amp; COUNTIFS($A$2:$A$79, IF(OR(LEFT($L$2, 3)="All", $L$2=""), "*", LEFT($L$2, IF(ISNUMBER(SEARCH(" (", $L$2)), SEARCH(" (", $L$2)-1, LEN($L$2)))), $B$2:$B$79, P14) &amp; ")"</f>
        <v>water (1)</v>
      </c>
    </row>
    <row r="15" spans="1:18" ht="15" x14ac:dyDescent="0.3">
      <c r="A15" s="3" t="s">
        <v>99</v>
      </c>
      <c r="B15" s="3" t="s">
        <v>93</v>
      </c>
      <c r="C15" s="4">
        <v>-7.590203777049215</v>
      </c>
      <c r="D15" s="4">
        <v>0.51585300000000001</v>
      </c>
      <c r="E15" s="4">
        <f>IF(AND(OR(LEFT($L$2, 3)="All", $L$2="", $L$2=A15, AND(LEFT($L$2, LEN(A15))=A15, MID($L$2, LEN(A15)+1, 2)=" (")), OR(LEFT($L$3, 3)="All", $L$3="", $L$3=B15, AND(LEFT($L$3, LEN(B15))=B15, MID($L$3, LEN(B15)+1, 2)=" ("))), C15-D15*3, NA())</f>
        <v>-9.1377627770492147</v>
      </c>
      <c r="F15" s="4">
        <f>IF(AND(OR(LEFT($L$2, 3)="All", $L$2="", $L$2=A15, AND(LEFT($L$2, LEN(A15))=A15, MID($L$2, LEN(A15)+1, 2)=" (")), OR(LEFT($L$3, 3)="All", $L$3="", $L$3=B15, AND(LEFT($L$3, LEN(B15))=B15, MID($L$3, LEN(B15)+1, 2)=" ("))), C15-D15*6, NA())</f>
        <v>-10.685321777049214</v>
      </c>
      <c r="G15" s="3" t="s">
        <v>72</v>
      </c>
      <c r="H15" s="3" t="s">
        <v>84</v>
      </c>
      <c r="I15" s="3" t="str">
        <f>IF(AND(OR(LEFT($L$2, 3)="All", $L$2=""), OR(LEFT($L$3, 3)="All", $L$3="")), A15 &amp; " in " &amp; B15, IF(OR(LEFT($L$2, 3)&lt;&gt;"All", $L$2&lt;=""), B15, A15))</f>
        <v>poly(ethylene oxide) in acetonitrile-d3</v>
      </c>
    </row>
    <row r="16" spans="1:18" ht="15" x14ac:dyDescent="0.3">
      <c r="A16" s="3" t="s">
        <v>99</v>
      </c>
      <c r="B16" s="3" t="s">
        <v>93</v>
      </c>
      <c r="C16" s="4">
        <v>-7.2819137052169083</v>
      </c>
      <c r="D16" s="4">
        <v>0.59613000000000005</v>
      </c>
      <c r="E16" s="4">
        <f>IF(AND(OR(LEFT($L$2, 3)="All", $L$2="", $L$2=A16, AND(LEFT($L$2, LEN(A16))=A16, MID($L$2, LEN(A16)+1, 2)=" (")), OR(LEFT($L$3, 3)="All", $L$3="", $L$3=B16, AND(LEFT($L$3, LEN(B16))=B16, MID($L$3, LEN(B16)+1, 2)=" ("))), C16-D16*3, NA())</f>
        <v>-9.070303705216908</v>
      </c>
      <c r="F16" s="4">
        <f>IF(AND(OR(LEFT($L$2, 3)="All", $L$2="", $L$2=A16, AND(LEFT($L$2, LEN(A16))=A16, MID($L$2, LEN(A16)+1, 2)=" (")), OR(LEFT($L$3, 3)="All", $L$3="", $L$3=B16, AND(LEFT($L$3, LEN(B16))=B16, MID($L$3, LEN(B16)+1, 2)=" ("))), C16-D16*6, NA())</f>
        <v>-10.858693705216908</v>
      </c>
      <c r="G16" s="3" t="s">
        <v>73</v>
      </c>
      <c r="H16" s="3" t="s">
        <v>109</v>
      </c>
      <c r="I16" s="3" t="str">
        <f>IF(AND(OR(LEFT($L$2, 3)="All", $L$2=""), OR(LEFT($L$3, 3)="All", $L$3="")), A16 &amp; " in " &amp; B16, IF(OR(LEFT($L$2, 3)&lt;&gt;"All", $L$2&lt;=""), B16, A16))</f>
        <v>poly(ethylene oxide) in acetonitrile-d3</v>
      </c>
    </row>
    <row r="17" spans="1:9" ht="15" x14ac:dyDescent="0.3">
      <c r="A17" s="3" t="s">
        <v>99</v>
      </c>
      <c r="B17" s="3" t="s">
        <v>82</v>
      </c>
      <c r="C17" s="4">
        <v>-7.62</v>
      </c>
      <c r="D17" s="4">
        <v>0.62</v>
      </c>
      <c r="E17" s="4">
        <f>IF(AND(OR(LEFT($L$2, 3)="All", $L$2="", $L$2=A17, AND(LEFT($L$2, LEN(A17))=A17, MID($L$2, LEN(A17)+1, 2)=" (")), OR(LEFT($L$3, 3)="All", $L$3="", $L$3=B17, AND(LEFT($L$3, LEN(B17))=B17, MID($L$3, LEN(B17)+1, 2)=" ("))), C17-D17*3, NA())</f>
        <v>-9.48</v>
      </c>
      <c r="F17" s="4">
        <f>IF(AND(OR(LEFT($L$2, 3)="All", $L$2="", $L$2=A17, AND(LEFT($L$2, LEN(A17))=A17, MID($L$2, LEN(A17)+1, 2)=" (")), OR(LEFT($L$3, 3)="All", $L$3="", $L$3=B17, AND(LEFT($L$3, LEN(B17))=B17, MID($L$3, LEN(B17)+1, 2)=" ("))), C17-D17*6, NA())</f>
        <v>-11.34</v>
      </c>
      <c r="G17" s="3" t="s">
        <v>59</v>
      </c>
      <c r="H17" s="3" t="s">
        <v>111</v>
      </c>
      <c r="I17" s="3" t="str">
        <f>IF(AND(OR(LEFT($L$2, 3)="All", $L$2=""), OR(LEFT($L$3, 3)="All", $L$3="")), A17 &amp; " in " &amp; B17, IF(OR(LEFT($L$2, 3)&lt;&gt;"All", $L$2&lt;=""), B17, A17))</f>
        <v>poly(ethylene oxide) in deuterium oxide</v>
      </c>
    </row>
    <row r="18" spans="1:9" ht="15" x14ac:dyDescent="0.3">
      <c r="A18" s="3" t="s">
        <v>99</v>
      </c>
      <c r="B18" s="3" t="s">
        <v>82</v>
      </c>
      <c r="C18" s="4">
        <v>-8.39</v>
      </c>
      <c r="D18" s="4">
        <v>0.47</v>
      </c>
      <c r="E18" s="4">
        <f>IF(AND(OR(LEFT($L$2, 3)="All", $L$2="", $L$2=A18, AND(LEFT($L$2, LEN(A18))=A18, MID($L$2, LEN(A18)+1, 2)=" (")), OR(LEFT($L$3, 3)="All", $L$3="", $L$3=B18, AND(LEFT($L$3, LEN(B18))=B18, MID($L$3, LEN(B18)+1, 2)=" ("))), C18-D18*3, NA())</f>
        <v>-9.8000000000000007</v>
      </c>
      <c r="F18" s="4">
        <f>IF(AND(OR(LEFT($L$2, 3)="All", $L$2="", $L$2=A18, AND(LEFT($L$2, LEN(A18))=A18, MID($L$2, LEN(A18)+1, 2)=" (")), OR(LEFT($L$3, 3)="All", $L$3="", $L$3=B18, AND(LEFT($L$3, LEN(B18))=B18, MID($L$3, LEN(B18)+1, 2)=" ("))), C18-D18*6, NA())</f>
        <v>-11.21</v>
      </c>
      <c r="G18" s="3" t="s">
        <v>68</v>
      </c>
      <c r="H18" s="3" t="s">
        <v>84</v>
      </c>
      <c r="I18" s="3" t="str">
        <f>IF(AND(OR(LEFT($L$2, 3)="All", $L$2=""), OR(LEFT($L$3, 3)="All", $L$3="")), A18 &amp; " in " &amp; B18, IF(OR(LEFT($L$2, 3)&lt;&gt;"All", $L$2&lt;=""), B18, A18))</f>
        <v>poly(ethylene oxide) in deuterium oxide</v>
      </c>
    </row>
    <row r="19" spans="1:9" ht="15" x14ac:dyDescent="0.3">
      <c r="A19" s="3" t="s">
        <v>99</v>
      </c>
      <c r="B19" s="3" t="s">
        <v>82</v>
      </c>
      <c r="C19" s="4">
        <v>-8.23</v>
      </c>
      <c r="D19" s="4">
        <v>0.49</v>
      </c>
      <c r="E19" s="4">
        <f>IF(AND(OR(LEFT($L$2, 3)="All", $L$2="", $L$2=A19, AND(LEFT($L$2, LEN(A19))=A19, MID($L$2, LEN(A19)+1, 2)=" (")), OR(LEFT($L$3, 3)="All", $L$3="", $L$3=B19, AND(LEFT($L$3, LEN(B19))=B19, MID($L$3, LEN(B19)+1, 2)=" ("))), C19-D19*3, NA())</f>
        <v>-9.7000000000000011</v>
      </c>
      <c r="F19" s="4">
        <f>IF(AND(OR(LEFT($L$2, 3)="All", $L$2="", $L$2=A19, AND(LEFT($L$2, LEN(A19))=A19, MID($L$2, LEN(A19)+1, 2)=" (")), OR(LEFT($L$3, 3)="All", $L$3="", $L$3=B19, AND(LEFT($L$3, LEN(B19))=B19, MID($L$3, LEN(B19)+1, 2)=" ("))), C19-D19*6, NA())</f>
        <v>-11.17</v>
      </c>
      <c r="G19" s="3" t="s">
        <v>68</v>
      </c>
      <c r="H19" s="3" t="s">
        <v>98</v>
      </c>
      <c r="I19" s="3" t="str">
        <f>IF(AND(OR(LEFT($L$2, 3)="All", $L$2=""), OR(LEFT($L$3, 3)="All", $L$3="")), A19 &amp; " in " &amp; B19, IF(OR(LEFT($L$2, 3)&lt;&gt;"All", $L$2&lt;=""), B19, A19))</f>
        <v>poly(ethylene oxide) in deuterium oxide</v>
      </c>
    </row>
    <row r="20" spans="1:9" ht="15" x14ac:dyDescent="0.3">
      <c r="A20" s="3" t="s">
        <v>99</v>
      </c>
      <c r="B20" s="3" t="s">
        <v>82</v>
      </c>
      <c r="C20" s="4">
        <v>-8.327</v>
      </c>
      <c r="D20" s="4">
        <v>0.4466</v>
      </c>
      <c r="E20" s="4">
        <f>IF(AND(OR(LEFT($L$2, 3)="All", $L$2="", $L$2=A20, AND(LEFT($L$2, LEN(A20))=A20, MID($L$2, LEN(A20)+1, 2)=" (")), OR(LEFT($L$3, 3)="All", $L$3="", $L$3=B20, AND(LEFT($L$3, LEN(B20))=B20, MID($L$3, LEN(B20)+1, 2)=" ("))), C20-D20*3, NA())</f>
        <v>-9.6668000000000003</v>
      </c>
      <c r="F20" s="4">
        <f>IF(AND(OR(LEFT($L$2, 3)="All", $L$2="", $L$2=A20, AND(LEFT($L$2, LEN(A20))=A20, MID($L$2, LEN(A20)+1, 2)=" (")), OR(LEFT($L$3, 3)="All", $L$3="", $L$3=B20, AND(LEFT($L$3, LEN(B20))=B20, MID($L$3, LEN(B20)+1, 2)=" ("))), C20-D20*6, NA())</f>
        <v>-11.006599999999999</v>
      </c>
      <c r="G20" s="3" t="s">
        <v>69</v>
      </c>
      <c r="H20" s="3" t="s">
        <v>101</v>
      </c>
      <c r="I20" s="3" t="str">
        <f>IF(AND(OR(LEFT($L$2, 3)="All", $L$2=""), OR(LEFT($L$3, 3)="All", $L$3="")), A20 &amp; " in " &amp; B20, IF(OR(LEFT($L$2, 3)&lt;&gt;"All", $L$2&lt;=""), B20, A20))</f>
        <v>poly(ethylene oxide) in deuterium oxide</v>
      </c>
    </row>
    <row r="21" spans="1:9" ht="15" x14ac:dyDescent="0.3">
      <c r="A21" s="3" t="s">
        <v>99</v>
      </c>
      <c r="B21" s="3" t="s">
        <v>82</v>
      </c>
      <c r="C21" s="4">
        <v>-8.1011777710179267</v>
      </c>
      <c r="D21" s="4">
        <v>0.51215500000000003</v>
      </c>
      <c r="E21" s="4">
        <f>IF(AND(OR(LEFT($L$2, 3)="All", $L$2="", $L$2=A21, AND(LEFT($L$2, LEN(A21))=A21, MID($L$2, LEN(A21)+1, 2)=" (")), OR(LEFT($L$3, 3)="All", $L$3="", $L$3=B21, AND(LEFT($L$3, LEN(B21))=B21, MID($L$3, LEN(B21)+1, 2)=" ("))), C21-D21*3, NA())</f>
        <v>-9.6376427710179264</v>
      </c>
      <c r="F21" s="4">
        <f>IF(AND(OR(LEFT($L$2, 3)="All", $L$2="", $L$2=A21, AND(LEFT($L$2, LEN(A21))=A21, MID($L$2, LEN(A21)+1, 2)=" (")), OR(LEFT($L$3, 3)="All", $L$3="", $L$3=B21, AND(LEFT($L$3, LEN(B21))=B21, MID($L$3, LEN(B21)+1, 2)=" ("))), C21-D21*6, NA())</f>
        <v>-11.174107771017926</v>
      </c>
      <c r="G21" s="3" t="s">
        <v>72</v>
      </c>
      <c r="H21" s="3" t="s">
        <v>84</v>
      </c>
      <c r="I21" s="3" t="str">
        <f>IF(AND(OR(LEFT($L$2, 3)="All", $L$2=""), OR(LEFT($L$3, 3)="All", $L$3="")), A21 &amp; " in " &amp; B21, IF(OR(LEFT($L$2, 3)&lt;&gt;"All", $L$2&lt;=""), B21, A21))</f>
        <v>poly(ethylene oxide) in deuterium oxide</v>
      </c>
    </row>
    <row r="22" spans="1:9" ht="15" x14ac:dyDescent="0.3">
      <c r="A22" s="3" t="s">
        <v>99</v>
      </c>
      <c r="B22" s="3" t="s">
        <v>82</v>
      </c>
      <c r="C22" s="4">
        <v>-7.8771945371525556</v>
      </c>
      <c r="D22" s="4">
        <v>0.57230000000000003</v>
      </c>
      <c r="E22" s="4">
        <f>IF(AND(OR(LEFT($L$2, 3)="All", $L$2="", $L$2=A22, AND(LEFT($L$2, LEN(A22))=A22, MID($L$2, LEN(A22)+1, 2)=" (")), OR(LEFT($L$3, 3)="All", $L$3="", $L$3=B22, AND(LEFT($L$3, LEN(B22))=B22, MID($L$3, LEN(B22)+1, 2)=" ("))), C22-D22*3, NA())</f>
        <v>-9.5940945371525554</v>
      </c>
      <c r="F22" s="4">
        <f>IF(AND(OR(LEFT($L$2, 3)="All", $L$2="", $L$2=A22, AND(LEFT($L$2, LEN(A22))=A22, MID($L$2, LEN(A22)+1, 2)=" (")), OR(LEFT($L$3, 3)="All", $L$3="", $L$3=B22, AND(LEFT($L$3, LEN(B22))=B22, MID($L$3, LEN(B22)+1, 2)=" ("))), C22-D22*6, NA())</f>
        <v>-11.310994537152556</v>
      </c>
      <c r="G22" s="3" t="s">
        <v>73</v>
      </c>
      <c r="H22" s="3" t="s">
        <v>109</v>
      </c>
      <c r="I22" s="3" t="str">
        <f>IF(AND(OR(LEFT($L$2, 3)="All", $L$2=""), OR(LEFT($L$3, 3)="All", $L$3="")), A22 &amp; " in " &amp; B22, IF(OR(LEFT($L$2, 3)&lt;&gt;"All", $L$2&lt;=""), B22, A22))</f>
        <v>poly(ethylene oxide) in deuterium oxide</v>
      </c>
    </row>
    <row r="23" spans="1:9" ht="15" x14ac:dyDescent="0.3">
      <c r="A23" s="3" t="s">
        <v>99</v>
      </c>
      <c r="B23" s="3" t="s">
        <v>82</v>
      </c>
      <c r="C23" s="4">
        <v>-7.8771945371525556</v>
      </c>
      <c r="D23" s="4">
        <v>0.57230000000000003</v>
      </c>
      <c r="E23" s="4">
        <f>IF(AND(OR(LEFT($L$2, 3)="All", $L$2="", $L$2=A23, AND(LEFT($L$2, LEN(A23))=A23, MID($L$2, LEN(A23)+1, 2)=" (")), OR(LEFT($L$3, 3)="All", $L$3="", $L$3=B23, AND(LEFT($L$3, LEN(B23))=B23, MID($L$3, LEN(B23)+1, 2)=" ("))), C23-D23*3, NA())</f>
        <v>-9.5940945371525554</v>
      </c>
      <c r="F23" s="4">
        <f>IF(AND(OR(LEFT($L$2, 3)="All", $L$2="", $L$2=A23, AND(LEFT($L$2, LEN(A23))=A23, MID($L$2, LEN(A23)+1, 2)=" (")), OR(LEFT($L$3, 3)="All", $L$3="", $L$3=B23, AND(LEFT($L$3, LEN(B23))=B23, MID($L$3, LEN(B23)+1, 2)=" ("))), C23-D23*6, NA())</f>
        <v>-11.310994537152556</v>
      </c>
      <c r="G23" s="3" t="s">
        <v>73</v>
      </c>
      <c r="H23" s="3" t="s">
        <v>112</v>
      </c>
      <c r="I23" s="3" t="str">
        <f>IF(AND(OR(LEFT($L$2, 3)="All", $L$2=""), OR(LEFT($L$3, 3)="All", $L$3="")), A23 &amp; " in " &amp; B23, IF(OR(LEFT($L$2, 3)&lt;&gt;"All", $L$2&lt;=""), B23, A23))</f>
        <v>poly(ethylene oxide) in deuterium oxide</v>
      </c>
    </row>
    <row r="24" spans="1:9" ht="15" x14ac:dyDescent="0.3">
      <c r="A24" s="3" t="s">
        <v>99</v>
      </c>
      <c r="B24" s="3" t="s">
        <v>82</v>
      </c>
      <c r="C24" s="4">
        <v>-7.8423015207244839</v>
      </c>
      <c r="D24" s="4">
        <v>0.55986999999999998</v>
      </c>
      <c r="E24" s="4">
        <f>IF(AND(OR(LEFT($L$2, 3)="All", $L$2="", $L$2=A24, AND(LEFT($L$2, LEN(A24))=A24, MID($L$2, LEN(A24)+1, 2)=" (")), OR(LEFT($L$3, 3)="All", $L$3="", $L$3=B24, AND(LEFT($L$3, LEN(B24))=B24, MID($L$3, LEN(B24)+1, 2)=" ("))), C24-D24*3, NA())</f>
        <v>-9.5219115207244833</v>
      </c>
      <c r="F24" s="4">
        <f>IF(AND(OR(LEFT($L$2, 3)="All", $L$2="", $L$2=A24, AND(LEFT($L$2, LEN(A24))=A24, MID($L$2, LEN(A24)+1, 2)=" (")), OR(LEFT($L$3, 3)="All", $L$3="", $L$3=B24, AND(LEFT($L$3, LEN(B24))=B24, MID($L$3, LEN(B24)+1, 2)=" ("))), C24-D24*6, NA())</f>
        <v>-11.201521520724484</v>
      </c>
      <c r="G24" s="3" t="s">
        <v>73</v>
      </c>
      <c r="H24" s="3" t="s">
        <v>112</v>
      </c>
      <c r="I24" s="3" t="str">
        <f>IF(AND(OR(LEFT($L$2, 3)="All", $L$2=""), OR(LEFT($L$3, 3)="All", $L$3="")), A24 &amp; " in " &amp; B24, IF(OR(LEFT($L$2, 3)&lt;&gt;"All", $L$2&lt;=""), B24, A24))</f>
        <v>poly(ethylene oxide) in deuterium oxide</v>
      </c>
    </row>
    <row r="25" spans="1:9" ht="15" x14ac:dyDescent="0.3">
      <c r="A25" s="3" t="s">
        <v>99</v>
      </c>
      <c r="B25" s="3" t="s">
        <v>82</v>
      </c>
      <c r="C25" s="4">
        <v>-7.7177858669376649</v>
      </c>
      <c r="D25" s="4">
        <v>0.56338999999999995</v>
      </c>
      <c r="E25" s="4">
        <f>IF(AND(OR(LEFT($L$2, 3)="All", $L$2="", $L$2=A25, AND(LEFT($L$2, LEN(A25))=A25, MID($L$2, LEN(A25)+1, 2)=" (")), OR(LEFT($L$3, 3)="All", $L$3="", $L$3=B25, AND(LEFT($L$3, LEN(B25))=B25, MID($L$3, LEN(B25)+1, 2)=" ("))), C25-D25*3, NA())</f>
        <v>-9.4079558669376642</v>
      </c>
      <c r="F25" s="4">
        <f>IF(AND(OR(LEFT($L$2, 3)="All", $L$2="", $L$2=A25, AND(LEFT($L$2, LEN(A25))=A25, MID($L$2, LEN(A25)+1, 2)=" (")), OR(LEFT($L$3, 3)="All", $L$3="", $L$3=B25, AND(LEFT($L$3, LEN(B25))=B25, MID($L$3, LEN(B25)+1, 2)=" ("))), C25-D25*6, NA())</f>
        <v>-11.098125866937664</v>
      </c>
      <c r="G25" s="3" t="s">
        <v>73</v>
      </c>
      <c r="H25" s="3" t="s">
        <v>112</v>
      </c>
      <c r="I25" s="3" t="str">
        <f>IF(AND(OR(LEFT($L$2, 3)="All", $L$2=""), OR(LEFT($L$3, 3)="All", $L$3="")), A25 &amp; " in " &amp; B25, IF(OR(LEFT($L$2, 3)&lt;&gt;"All", $L$2&lt;=""), B25, A25))</f>
        <v>poly(ethylene oxide) in deuterium oxide</v>
      </c>
    </row>
    <row r="26" spans="1:9" ht="15" x14ac:dyDescent="0.3">
      <c r="A26" s="3" t="s">
        <v>99</v>
      </c>
      <c r="B26" s="3" t="s">
        <v>82</v>
      </c>
      <c r="C26" s="4">
        <v>-7.6250318137007662</v>
      </c>
      <c r="D26" s="4">
        <v>0.55747000000000002</v>
      </c>
      <c r="E26" s="4">
        <f>IF(AND(OR(LEFT($L$2, 3)="All", $L$2="", $L$2=A26, AND(LEFT($L$2, LEN(A26))=A26, MID($L$2, LEN(A26)+1, 2)=" (")), OR(LEFT($L$3, 3)="All", $L$3="", $L$3=B26, AND(LEFT($L$3, LEN(B26))=B26, MID($L$3, LEN(B26)+1, 2)=" ("))), C26-D26*3, NA())</f>
        <v>-9.2974418137007664</v>
      </c>
      <c r="F26" s="4">
        <f>IF(AND(OR(LEFT($L$2, 3)="All", $L$2="", $L$2=A26, AND(LEFT($L$2, LEN(A26))=A26, MID($L$2, LEN(A26)+1, 2)=" (")), OR(LEFT($L$3, 3)="All", $L$3="", $L$3=B26, AND(LEFT($L$3, LEN(B26))=B26, MID($L$3, LEN(B26)+1, 2)=" ("))), C26-D26*6, NA())</f>
        <v>-10.969851813700767</v>
      </c>
      <c r="G26" s="3" t="s">
        <v>73</v>
      </c>
      <c r="H26" s="3" t="s">
        <v>112</v>
      </c>
      <c r="I26" s="3" t="str">
        <f>IF(AND(OR(LEFT($L$2, 3)="All", $L$2=""), OR(LEFT($L$3, 3)="All", $L$3="")), A26 &amp; " in " &amp; B26, IF(OR(LEFT($L$2, 3)&lt;&gt;"All", $L$2&lt;=""), B26, A26))</f>
        <v>poly(ethylene oxide) in deuterium oxide</v>
      </c>
    </row>
    <row r="27" spans="1:9" ht="15" x14ac:dyDescent="0.3">
      <c r="A27" s="3" t="s">
        <v>99</v>
      </c>
      <c r="B27" s="3" t="s">
        <v>82</v>
      </c>
      <c r="C27" s="4">
        <v>-7.5563302965036021</v>
      </c>
      <c r="D27" s="4">
        <v>0.55169000000000001</v>
      </c>
      <c r="E27" s="4">
        <f>IF(AND(OR(LEFT($L$2, 3)="All", $L$2="", $L$2=A27, AND(LEFT($L$2, LEN(A27))=A27, MID($L$2, LEN(A27)+1, 2)=" (")), OR(LEFT($L$3, 3)="All", $L$3="", $L$3=B27, AND(LEFT($L$3, LEN(B27))=B27, MID($L$3, LEN(B27)+1, 2)=" ("))), C27-D27*3, NA())</f>
        <v>-9.2114002965036015</v>
      </c>
      <c r="F27" s="4">
        <f>IF(AND(OR(LEFT($L$2, 3)="All", $L$2="", $L$2=A27, AND(LEFT($L$2, LEN(A27))=A27, MID($L$2, LEN(A27)+1, 2)=" (")), OR(LEFT($L$3, 3)="All", $L$3="", $L$3=B27, AND(LEFT($L$3, LEN(B27))=B27, MID($L$3, LEN(B27)+1, 2)=" ("))), C27-D27*6, NA())</f>
        <v>-10.866470296503602</v>
      </c>
      <c r="G27" s="3" t="s">
        <v>73</v>
      </c>
      <c r="H27" s="3" t="s">
        <v>112</v>
      </c>
      <c r="I27" s="3" t="str">
        <f>IF(AND(OR(LEFT($L$2, 3)="All", $L$2=""), OR(LEFT($L$3, 3)="All", $L$3="")), A27 &amp; " in " &amp; B27, IF(OR(LEFT($L$2, 3)&lt;&gt;"All", $L$2&lt;=""), B27, A27))</f>
        <v>poly(ethylene oxide) in deuterium oxide</v>
      </c>
    </row>
    <row r="28" spans="1:9" ht="15" x14ac:dyDescent="0.3">
      <c r="A28" s="3" t="s">
        <v>99</v>
      </c>
      <c r="B28" s="3" t="s">
        <v>106</v>
      </c>
      <c r="C28" s="4">
        <v>-8.06</v>
      </c>
      <c r="D28" s="4">
        <v>0.45</v>
      </c>
      <c r="E28" s="4">
        <f>IF(AND(OR(LEFT($L$2, 3)="All", $L$2="", $L$2=A28, AND(LEFT($L$2, LEN(A28))=A28, MID($L$2, LEN(A28)+1, 2)=" (")), OR(LEFT($L$3, 3)="All", $L$3="", $L$3=B28, AND(LEFT($L$3, LEN(B28))=B28, MID($L$3, LEN(B28)+1, 2)=" ("))), C28-D28*3, NA())</f>
        <v>-9.41</v>
      </c>
      <c r="F28" s="4">
        <f>IF(AND(OR(LEFT($L$2, 3)="All", $L$2="", $L$2=A28, AND(LEFT($L$2, LEN(A28))=A28, MID($L$2, LEN(A28)+1, 2)=" (")), OR(LEFT($L$3, 3)="All", $L$3="", $L$3=B28, AND(LEFT($L$3, LEN(B28))=B28, MID($L$3, LEN(B28)+1, 2)=" ("))), C28-D28*6, NA())</f>
        <v>-10.760000000000002</v>
      </c>
      <c r="G28" s="3" t="s">
        <v>68</v>
      </c>
      <c r="H28" s="3" t="s">
        <v>98</v>
      </c>
      <c r="I28" s="3" t="str">
        <f>IF(AND(OR(LEFT($L$2, 3)="All", $L$2=""), OR(LEFT($L$3, 3)="All", $L$3="")), A28 &amp; " in " &amp; B28, IF(OR(LEFT($L$2, 3)&lt;&gt;"All", $L$2&lt;=""), B28, A28))</f>
        <v>poly(ethylene oxide) in methanol-d4</v>
      </c>
    </row>
    <row r="29" spans="1:9" ht="15" x14ac:dyDescent="0.3">
      <c r="A29" s="3" t="s">
        <v>99</v>
      </c>
      <c r="B29" s="3" t="s">
        <v>106</v>
      </c>
      <c r="C29" s="4">
        <v>-7.8436174510277894</v>
      </c>
      <c r="D29" s="4">
        <v>0.50410500000000003</v>
      </c>
      <c r="E29" s="4">
        <f>IF(AND(OR(LEFT($L$2, 3)="All", $L$2="", $L$2=A29, AND(LEFT($L$2, LEN(A29))=A29, MID($L$2, LEN(A29)+1, 2)=" (")), OR(LEFT($L$3, 3)="All", $L$3="", $L$3=B29, AND(LEFT($L$3, LEN(B29))=B29, MID($L$3, LEN(B29)+1, 2)=" ("))), C29-D29*3, NA())</f>
        <v>-9.3559324510277904</v>
      </c>
      <c r="F29" s="4">
        <f>IF(AND(OR(LEFT($L$2, 3)="All", $L$2="", $L$2=A29, AND(LEFT($L$2, LEN(A29))=A29, MID($L$2, LEN(A29)+1, 2)=" (")), OR(LEFT($L$3, 3)="All", $L$3="", $L$3=B29, AND(LEFT($L$3, LEN(B29))=B29, MID($L$3, LEN(B29)+1, 2)=" ("))), C29-D29*6, NA())</f>
        <v>-10.86824745102779</v>
      </c>
      <c r="G29" s="3" t="s">
        <v>72</v>
      </c>
      <c r="H29" s="3" t="s">
        <v>84</v>
      </c>
      <c r="I29" s="3" t="str">
        <f>IF(AND(OR(LEFT($L$2, 3)="All", $L$2=""), OR(LEFT($L$3, 3)="All", $L$3="")), A29 &amp; " in " &amp; B29, IF(OR(LEFT($L$2, 3)&lt;&gt;"All", $L$2&lt;=""), B29, A29))</f>
        <v>poly(ethylene oxide) in methanol-d4</v>
      </c>
    </row>
    <row r="30" spans="1:9" ht="15" x14ac:dyDescent="0.3">
      <c r="A30" s="3" t="s">
        <v>99</v>
      </c>
      <c r="B30" s="3" t="s">
        <v>106</v>
      </c>
      <c r="C30" s="4">
        <v>-7.5916073798666392</v>
      </c>
      <c r="D30" s="4">
        <v>0.57020999999999999</v>
      </c>
      <c r="E30" s="4">
        <f>IF(AND(OR(LEFT($L$2, 3)="All", $L$2="", $L$2=A30, AND(LEFT($L$2, LEN(A30))=A30, MID($L$2, LEN(A30)+1, 2)=" (")), OR(LEFT($L$3, 3)="All", $L$3="", $L$3=B30, AND(LEFT($L$3, LEN(B30))=B30, MID($L$3, LEN(B30)+1, 2)=" ("))), C30-D30*3, NA())</f>
        <v>-9.3022373798666393</v>
      </c>
      <c r="F30" s="4">
        <f>IF(AND(OR(LEFT($L$2, 3)="All", $L$2="", $L$2=A30, AND(LEFT($L$2, LEN(A30))=A30, MID($L$2, LEN(A30)+1, 2)=" (")), OR(LEFT($L$3, 3)="All", $L$3="", $L$3=B30, AND(LEFT($L$3, LEN(B30))=B30, MID($L$3, LEN(B30)+1, 2)=" ("))), C30-D30*6, NA())</f>
        <v>-11.012867379866639</v>
      </c>
      <c r="G30" s="3" t="s">
        <v>73</v>
      </c>
      <c r="H30" s="3" t="s">
        <v>109</v>
      </c>
      <c r="I30" s="3" t="str">
        <f>IF(AND(OR(LEFT($L$2, 3)="All", $L$2=""), OR(LEFT($L$3, 3)="All", $L$3="")), A30 &amp; " in " &amp; B30, IF(OR(LEFT($L$2, 3)&lt;&gt;"All", $L$2&lt;=""), B30, A30))</f>
        <v>poly(ethylene oxide) in methanol-d4</v>
      </c>
    </row>
    <row r="31" spans="1:9" ht="15" x14ac:dyDescent="0.3">
      <c r="A31" s="3" t="s">
        <v>99</v>
      </c>
      <c r="B31" s="3" t="s">
        <v>99</v>
      </c>
      <c r="C31" s="4">
        <v>-8.0399999999999991</v>
      </c>
      <c r="D31" s="4">
        <v>0.45</v>
      </c>
      <c r="E31" s="4">
        <f>IF(AND(OR(LEFT($L$2, 3)="All", $L$2="", $L$2=A31, AND(LEFT($L$2, LEN(A31))=A31, MID($L$2, LEN(A31)+1, 2)=" (")), OR(LEFT($L$3, 3)="All", $L$3="", $L$3=B31, AND(LEFT($L$3, LEN(B31))=B31, MID($L$3, LEN(B31)+1, 2)=" ("))), C31-D31*3, NA())</f>
        <v>-9.3899999999999988</v>
      </c>
      <c r="F31" s="4">
        <f>IF(AND(OR(LEFT($L$2, 3)="All", $L$2="", $L$2=A31, AND(LEFT($L$2, LEN(A31))=A31, MID($L$2, LEN(A31)+1, 2)=" (")), OR(LEFT($L$3, 3)="All", $L$3="", $L$3=B31, AND(LEFT($L$3, LEN(B31))=B31, MID($L$3, LEN(B31)+1, 2)=" ("))), C31-D31*6, NA())</f>
        <v>-10.739999999999998</v>
      </c>
      <c r="G31" s="3" t="s">
        <v>68</v>
      </c>
      <c r="H31" s="3" t="s">
        <v>98</v>
      </c>
      <c r="I31" s="3" t="str">
        <f>IF(AND(OR(LEFT($L$2, 3)="All", $L$2=""), OR(LEFT($L$3, 3)="All", $L$3="")), A31 &amp; " in " &amp; B31, IF(OR(LEFT($L$2, 3)&lt;&gt;"All", $L$2&lt;=""), B31, A31))</f>
        <v>poly(ethylene oxide) in poly(ethylene oxide)</v>
      </c>
    </row>
    <row r="32" spans="1:9" ht="15" x14ac:dyDescent="0.3">
      <c r="A32" s="3" t="s">
        <v>99</v>
      </c>
      <c r="B32" s="3" t="s">
        <v>96</v>
      </c>
      <c r="C32" s="4">
        <v>-7.94</v>
      </c>
      <c r="D32" s="4">
        <v>0.46</v>
      </c>
      <c r="E32" s="4">
        <f>IF(AND(OR(LEFT($L$2, 3)="All", $L$2="", $L$2=A32, AND(LEFT($L$2, LEN(A32))=A32, MID($L$2, LEN(A32)+1, 2)=" (")), OR(LEFT($L$3, 3)="All", $L$3="", $L$3=B32, AND(LEFT($L$3, LEN(B32))=B32, MID($L$3, LEN(B32)+1, 2)=" ("))), C32-D32*3, NA())</f>
        <v>-9.32</v>
      </c>
      <c r="F32" s="4">
        <f>IF(AND(OR(LEFT($L$2, 3)="All", $L$2="", $L$2=A32, AND(LEFT($L$2, LEN(A32))=A32, MID($L$2, LEN(A32)+1, 2)=" (")), OR(LEFT($L$3, 3)="All", $L$3="", $L$3=B32, AND(LEFT($L$3, LEN(B32))=B32, MID($L$3, LEN(B32)+1, 2)=" ("))), C32-D32*6, NA())</f>
        <v>-10.700000000000001</v>
      </c>
      <c r="G32" s="3" t="s">
        <v>68</v>
      </c>
      <c r="H32" s="3" t="s">
        <v>98</v>
      </c>
      <c r="I32" s="3" t="str">
        <f>IF(AND(OR(LEFT($L$2, 3)="All", $L$2=""), OR(LEFT($L$3, 3)="All", $L$3="")), A32 &amp; " in " &amp; B32, IF(OR(LEFT($L$2, 3)&lt;&gt;"All", $L$2&lt;=""), B32, A32))</f>
        <v>poly(ethylene oxide) in tetrahydrofuran</v>
      </c>
    </row>
    <row r="33" spans="1:9" ht="15" x14ac:dyDescent="0.3">
      <c r="A33" s="3" t="s">
        <v>99</v>
      </c>
      <c r="B33" s="3" t="s">
        <v>96</v>
      </c>
      <c r="C33" s="4">
        <v>-7.4789142440846774</v>
      </c>
      <c r="D33" s="4">
        <v>0.58062000000000002</v>
      </c>
      <c r="E33" s="4">
        <f>IF(AND(OR(LEFT($L$2, 3)="All", $L$2="", $L$2=A33, AND(LEFT($L$2, LEN(A33))=A33, MID($L$2, LEN(A33)+1, 2)=" (")), OR(LEFT($L$3, 3)="All", $L$3="", $L$3=B33, AND(LEFT($L$3, LEN(B33))=B33, MID($L$3, LEN(B33)+1, 2)=" ("))), C33-D33*3, NA())</f>
        <v>-9.2207742440846765</v>
      </c>
      <c r="F33" s="4">
        <f>IF(AND(OR(LEFT($L$2, 3)="All", $L$2="", $L$2=A33, AND(LEFT($L$2, LEN(A33))=A33, MID($L$2, LEN(A33)+1, 2)=" (")), OR(LEFT($L$3, 3)="All", $L$3="", $L$3=B33, AND(LEFT($L$3, LEN(B33))=B33, MID($L$3, LEN(B33)+1, 2)=" ("))), C33-D33*6, NA())</f>
        <v>-10.962634244084677</v>
      </c>
      <c r="G33" s="3" t="s">
        <v>73</v>
      </c>
      <c r="H33" s="3" t="s">
        <v>109</v>
      </c>
      <c r="I33" s="3" t="str">
        <f>IF(AND(OR(LEFT($L$2, 3)="All", $L$2=""), OR(LEFT($L$3, 3)="All", $L$3="")), A33 &amp; " in " &amp; B33, IF(OR(LEFT($L$2, 3)&lt;&gt;"All", $L$2&lt;=""), B33, A33))</f>
        <v>poly(ethylene oxide) in tetrahydrofuran</v>
      </c>
    </row>
    <row r="34" spans="1:9" ht="15" x14ac:dyDescent="0.3">
      <c r="A34" s="3" t="s">
        <v>100</v>
      </c>
      <c r="B34" s="3" t="s">
        <v>91</v>
      </c>
      <c r="C34" s="4">
        <v>-7.74</v>
      </c>
      <c r="D34" s="4">
        <v>0.44</v>
      </c>
      <c r="E34" s="4">
        <f>IF(AND(OR(LEFT($L$2, 3)="All", $L$2="", $L$2=A34, AND(LEFT($L$2, LEN(A34))=A34, MID($L$2, LEN(A34)+1, 2)=" (")), OR(LEFT($L$3, 3)="All", $L$3="", $L$3=B34, AND(LEFT($L$3, LEN(B34))=B34, MID($L$3, LEN(B34)+1, 2)=" ("))), C34-D34*3, NA())</f>
        <v>-9.06</v>
      </c>
      <c r="F34" s="4">
        <f>IF(AND(OR(LEFT($L$2, 3)="All", $L$2="", $L$2=A34, AND(LEFT($L$2, LEN(A34))=A34, MID($L$2, LEN(A34)+1, 2)=" (")), OR(LEFT($L$3, 3)="All", $L$3="", $L$3=B34, AND(LEFT($L$3, LEN(B34))=B34, MID($L$3, LEN(B34)+1, 2)=" ("))), C34-D34*6, NA())</f>
        <v>-10.38</v>
      </c>
      <c r="G34" s="3" t="s">
        <v>71</v>
      </c>
      <c r="H34" s="3" t="s">
        <v>84</v>
      </c>
      <c r="I34" s="3" t="str">
        <f>IF(AND(OR(LEFT($L$2, 3)="All", $L$2=""), OR(LEFT($L$3, 3)="All", $L$3="")), A34 &amp; " in " &amp; B34, IF(OR(LEFT($L$2, 3)&lt;&gt;"All", $L$2&lt;=""), B34, A34))</f>
        <v>poly(methyl methacrylate) in acetone</v>
      </c>
    </row>
    <row r="35" spans="1:9" ht="15" x14ac:dyDescent="0.3">
      <c r="A35" s="3" t="s">
        <v>100</v>
      </c>
      <c r="B35" s="3" t="s">
        <v>88</v>
      </c>
      <c r="C35" s="4">
        <v>-7.91</v>
      </c>
      <c r="D35" s="4">
        <v>0.48</v>
      </c>
      <c r="E35" s="4">
        <f>IF(AND(OR(LEFT($L$2, 3)="All", $L$2="", $L$2=A35, AND(LEFT($L$2, LEN(A35))=A35, MID($L$2, LEN(A35)+1, 2)=" (")), OR(LEFT($L$3, 3)="All", $L$3="", $L$3=B35, AND(LEFT($L$3, LEN(B35))=B35, MID($L$3, LEN(B35)+1, 2)=" ("))), C35-D35*3, NA())</f>
        <v>-9.35</v>
      </c>
      <c r="F35" s="4">
        <f>IF(AND(OR(LEFT($L$2, 3)="All", $L$2="", $L$2=A35, AND(LEFT($L$2, LEN(A35))=A35, MID($L$2, LEN(A35)+1, 2)=" (")), OR(LEFT($L$3, 3)="All", $L$3="", $L$3=B35, AND(LEFT($L$3, LEN(B35))=B35, MID($L$3, LEN(B35)+1, 2)=" ("))), C35-D35*6, NA())</f>
        <v>-10.79</v>
      </c>
      <c r="G35" s="3" t="s">
        <v>71</v>
      </c>
      <c r="H35" s="3" t="s">
        <v>84</v>
      </c>
      <c r="I35" s="3" t="str">
        <f>IF(AND(OR(LEFT($L$2, 3)="All", $L$2=""), OR(LEFT($L$3, 3)="All", $L$3="")), A35 &amp; " in " &amp; B35, IF(OR(LEFT($L$2, 3)&lt;&gt;"All", $L$2&lt;=""), B35, A35))</f>
        <v>poly(methyl methacrylate) in benzene</v>
      </c>
    </row>
    <row r="36" spans="1:9" ht="15" x14ac:dyDescent="0.3">
      <c r="A36" s="3" t="s">
        <v>100</v>
      </c>
      <c r="B36" s="3" t="s">
        <v>88</v>
      </c>
      <c r="C36" s="4">
        <v>-7.683956229316216</v>
      </c>
      <c r="D36" s="4">
        <v>0.53039400000000003</v>
      </c>
      <c r="E36" s="4">
        <f>IF(AND(OR(LEFT($L$2, 3)="All", $L$2="", $L$2=A36, AND(LEFT($L$2, LEN(A36))=A36, MID($L$2, LEN(A36)+1, 2)=" (")), OR(LEFT($L$3, 3)="All", $L$3="", $L$3=B36, AND(LEFT($L$3, LEN(B36))=B36, MID($L$3, LEN(B36)+1, 2)=" ("))), C36-D36*3, NA())</f>
        <v>-9.2751382293162159</v>
      </c>
      <c r="F36" s="4">
        <f>IF(AND(OR(LEFT($L$2, 3)="All", $L$2="", $L$2=A36, AND(LEFT($L$2, LEN(A36))=A36, MID($L$2, LEN(A36)+1, 2)=" (")), OR(LEFT($L$3, 3)="All", $L$3="", $L$3=B36, AND(LEFT($L$3, LEN(B36))=B36, MID($L$3, LEN(B36)+1, 2)=" ("))), C36-D36*6, NA())</f>
        <v>-10.866320229316216</v>
      </c>
      <c r="G36" s="3" t="s">
        <v>72</v>
      </c>
      <c r="H36" s="3" t="s">
        <v>84</v>
      </c>
      <c r="I36" s="3" t="str">
        <f>IF(AND(OR(LEFT($L$2, 3)="All", $L$2=""), OR(LEFT($L$3, 3)="All", $L$3="")), A36 &amp; " in " &amp; B36, IF(OR(LEFT($L$2, 3)&lt;&gt;"All", $L$2&lt;=""), B36, A36))</f>
        <v>poly(methyl methacrylate) in benzene</v>
      </c>
    </row>
    <row r="37" spans="1:9" ht="15" x14ac:dyDescent="0.3">
      <c r="A37" s="3" t="s">
        <v>100</v>
      </c>
      <c r="B37" s="3" t="s">
        <v>88</v>
      </c>
      <c r="C37" s="4">
        <v>-7.5283563009586141</v>
      </c>
      <c r="D37" s="4">
        <v>0.56913000000000002</v>
      </c>
      <c r="E37" s="4">
        <f>IF(AND(OR(LEFT($L$2, 3)="All", $L$2="", $L$2=A37, AND(LEFT($L$2, LEN(A37))=A37, MID($L$2, LEN(A37)+1, 2)=" (")), OR(LEFT($L$3, 3)="All", $L$3="", $L$3=B37, AND(LEFT($L$3, LEN(B37))=B37, MID($L$3, LEN(B37)+1, 2)=" ("))), C37-D37*3, NA())</f>
        <v>-9.2357463009586134</v>
      </c>
      <c r="F37" s="4">
        <f>IF(AND(OR(LEFT($L$2, 3)="All", $L$2="", $L$2=A37, AND(LEFT($L$2, LEN(A37))=A37, MID($L$2, LEN(A37)+1, 2)=" (")), OR(LEFT($L$3, 3)="All", $L$3="", $L$3=B37, AND(LEFT($L$3, LEN(B37))=B37, MID($L$3, LEN(B37)+1, 2)=" ("))), C37-D37*6, NA())</f>
        <v>-10.943136300958614</v>
      </c>
      <c r="G37" s="3" t="s">
        <v>73</v>
      </c>
      <c r="H37" s="3" t="s">
        <v>89</v>
      </c>
      <c r="I37" s="3" t="str">
        <f>IF(AND(OR(LEFT($L$2, 3)="All", $L$2=""), OR(LEFT($L$3, 3)="All", $L$3="")), A37 &amp; " in " &amp; B37, IF(OR(LEFT($L$2, 3)&lt;&gt;"All", $L$2&lt;=""), B37, A37))</f>
        <v>poly(methyl methacrylate) in benzene</v>
      </c>
    </row>
    <row r="38" spans="1:9" ht="15" x14ac:dyDescent="0.3">
      <c r="A38" s="3" t="s">
        <v>100</v>
      </c>
      <c r="B38" s="3" t="s">
        <v>88</v>
      </c>
      <c r="C38" s="4">
        <v>-7.696566333993796</v>
      </c>
      <c r="D38" s="4">
        <v>0.52734000000000003</v>
      </c>
      <c r="E38" s="4">
        <f>IF(AND(OR(LEFT($L$2, 3)="All", $L$2="", $L$2=A38, AND(LEFT($L$2, LEN(A38))=A38, MID($L$2, LEN(A38)+1, 2)=" (")), OR(LEFT($L$3, 3)="All", $L$3="", $L$3=B38, AND(LEFT($L$3, LEN(B38))=B38, MID($L$3, LEN(B38)+1, 2)=" ("))), C38-D38*3, NA())</f>
        <v>-9.2785863339937968</v>
      </c>
      <c r="F38" s="4">
        <f>IF(AND(OR(LEFT($L$2, 3)="All", $L$2="", $L$2=A38, AND(LEFT($L$2, LEN(A38))=A38, MID($L$2, LEN(A38)+1, 2)=" (")), OR(LEFT($L$3, 3)="All", $L$3="", $L$3=B38, AND(LEFT($L$3, LEN(B38))=B38, MID($L$3, LEN(B38)+1, 2)=" ("))), C38-D38*6, NA())</f>
        <v>-10.860606333993797</v>
      </c>
      <c r="G38" s="3" t="s">
        <v>73</v>
      </c>
      <c r="H38" s="3" t="s">
        <v>112</v>
      </c>
      <c r="I38" s="3" t="str">
        <f>IF(AND(OR(LEFT($L$2, 3)="All", $L$2=""), OR(LEFT($L$3, 3)="All", $L$3="")), A38 &amp; " in " &amp; B38, IF(OR(LEFT($L$2, 3)&lt;&gt;"All", $L$2&lt;=""), B38, A38))</f>
        <v>poly(methyl methacrylate) in benzene</v>
      </c>
    </row>
    <row r="39" spans="1:9" ht="15" x14ac:dyDescent="0.3">
      <c r="A39" s="3" t="s">
        <v>100</v>
      </c>
      <c r="B39" s="3" t="s">
        <v>88</v>
      </c>
      <c r="C39" s="4">
        <v>-7.6233318141894708</v>
      </c>
      <c r="D39" s="4">
        <v>0.52995999999999999</v>
      </c>
      <c r="E39" s="4">
        <f>IF(AND(OR(LEFT($L$2, 3)="All", $L$2="", $L$2=A39, AND(LEFT($L$2, LEN(A39))=A39, MID($L$2, LEN(A39)+1, 2)=" (")), OR(LEFT($L$3, 3)="All", $L$3="", $L$3=B39, AND(LEFT($L$3, LEN(B39))=B39, MID($L$3, LEN(B39)+1, 2)=" ("))), C39-D39*3, NA())</f>
        <v>-9.2132118141894708</v>
      </c>
      <c r="F39" s="4">
        <f>IF(AND(OR(LEFT($L$2, 3)="All", $L$2="", $L$2=A39, AND(LEFT($L$2, LEN(A39))=A39, MID($L$2, LEN(A39)+1, 2)=" (")), OR(LEFT($L$3, 3)="All", $L$3="", $L$3=B39, AND(LEFT($L$3, LEN(B39))=B39, MID($L$3, LEN(B39)+1, 2)=" ("))), C39-D39*6, NA())</f>
        <v>-10.803091814189472</v>
      </c>
      <c r="G39" s="3" t="s">
        <v>73</v>
      </c>
      <c r="H39" s="3" t="s">
        <v>112</v>
      </c>
      <c r="I39" s="3" t="str">
        <f>IF(AND(OR(LEFT($L$2, 3)="All", $L$2=""), OR(LEFT($L$3, 3)="All", $L$3="")), A39 &amp; " in " &amp; B39, IF(OR(LEFT($L$2, 3)&lt;&gt;"All", $L$2&lt;=""), B39, A39))</f>
        <v>poly(methyl methacrylate) in benzene</v>
      </c>
    </row>
    <row r="40" spans="1:9" ht="15" x14ac:dyDescent="0.3">
      <c r="A40" s="3" t="s">
        <v>100</v>
      </c>
      <c r="B40" s="3" t="s">
        <v>88</v>
      </c>
      <c r="C40" s="4">
        <v>-7.5883802940367699</v>
      </c>
      <c r="D40" s="4">
        <v>0.52551999999999999</v>
      </c>
      <c r="E40" s="4">
        <f>IF(AND(OR(LEFT($L$2, 3)="All", $L$2="", $L$2=A40, AND(LEFT($L$2, LEN(A40))=A40, MID($L$2, LEN(A40)+1, 2)=" (")), OR(LEFT($L$3, 3)="All", $L$3="", $L$3=B40, AND(LEFT($L$3, LEN(B40))=B40, MID($L$3, LEN(B40)+1, 2)=" ("))), C40-D40*3, NA())</f>
        <v>-9.1649402940367697</v>
      </c>
      <c r="F40" s="4">
        <f>IF(AND(OR(LEFT($L$2, 3)="All", $L$2="", $L$2=A40, AND(LEFT($L$2, LEN(A40))=A40, MID($L$2, LEN(A40)+1, 2)=" (")), OR(LEFT($L$3, 3)="All", $L$3="", $L$3=B40, AND(LEFT($L$3, LEN(B40))=B40, MID($L$3, LEN(B40)+1, 2)=" ("))), C40-D40*6, NA())</f>
        <v>-10.74150029403677</v>
      </c>
      <c r="G40" s="3" t="s">
        <v>73</v>
      </c>
      <c r="H40" s="3" t="s">
        <v>112</v>
      </c>
      <c r="I40" s="3" t="str">
        <f>IF(AND(OR(LEFT($L$2, 3)="All", $L$2=""), OR(LEFT($L$3, 3)="All", $L$3="")), A40 &amp; " in " &amp; B40, IF(OR(LEFT($L$2, 3)&lt;&gt;"All", $L$2&lt;=""), B40, A40))</f>
        <v>poly(methyl methacrylate) in benzene</v>
      </c>
    </row>
    <row r="41" spans="1:9" ht="15" x14ac:dyDescent="0.3">
      <c r="A41" s="3" t="s">
        <v>100</v>
      </c>
      <c r="B41" s="3" t="s">
        <v>88</v>
      </c>
      <c r="C41" s="4">
        <v>-7.5126070639412879</v>
      </c>
      <c r="D41" s="4">
        <v>0.53220999999999996</v>
      </c>
      <c r="E41" s="4">
        <f>IF(AND(OR(LEFT($L$2, 3)="All", $L$2="", $L$2=A41, AND(LEFT($L$2, LEN(A41))=A41, MID($L$2, LEN(A41)+1, 2)=" (")), OR(LEFT($L$3, 3)="All", $L$3="", $L$3=B41, AND(LEFT($L$3, LEN(B41))=B41, MID($L$3, LEN(B41)+1, 2)=" ("))), C41-D41*3, NA())</f>
        <v>-9.1092370639412881</v>
      </c>
      <c r="F41" s="4">
        <f>IF(AND(OR(LEFT($L$2, 3)="All", $L$2="", $L$2=A41, AND(LEFT($L$2, LEN(A41))=A41, MID($L$2, LEN(A41)+1, 2)=" (")), OR(LEFT($L$3, 3)="All", $L$3="", $L$3=B41, AND(LEFT($L$3, LEN(B41))=B41, MID($L$3, LEN(B41)+1, 2)=" ("))), C41-D41*6, NA())</f>
        <v>-10.705867063941287</v>
      </c>
      <c r="G41" s="3" t="s">
        <v>73</v>
      </c>
      <c r="H41" s="3" t="s">
        <v>112</v>
      </c>
      <c r="I41" s="3" t="str">
        <f>IF(AND(OR(LEFT($L$2, 3)="All", $L$2=""), OR(LEFT($L$3, 3)="All", $L$3="")), A41 &amp; " in " &amp; B41, IF(OR(LEFT($L$2, 3)&lt;&gt;"All", $L$2&lt;=""), B41, A41))</f>
        <v>poly(methyl methacrylate) in benzene</v>
      </c>
    </row>
    <row r="42" spans="1:9" ht="15" x14ac:dyDescent="0.3">
      <c r="A42" s="3" t="s">
        <v>100</v>
      </c>
      <c r="B42" s="3" t="s">
        <v>88</v>
      </c>
      <c r="C42" s="4">
        <v>-7.5343643794466706</v>
      </c>
      <c r="D42" s="4">
        <v>0.51415</v>
      </c>
      <c r="E42" s="4">
        <f>IF(AND(OR(LEFT($L$2, 3)="All", $L$2="", $L$2=A42, AND(LEFT($L$2, LEN(A42))=A42, MID($L$2, LEN(A42)+1, 2)=" (")), OR(LEFT($L$3, 3)="All", $L$3="", $L$3=B42, AND(LEFT($L$3, LEN(B42))=B42, MID($L$3, LEN(B42)+1, 2)=" ("))), C42-D42*3, NA())</f>
        <v>-9.0768143794466702</v>
      </c>
      <c r="F42" s="4">
        <f>IF(AND(OR(LEFT($L$2, 3)="All", $L$2="", $L$2=A42, AND(LEFT($L$2, LEN(A42))=A42, MID($L$2, LEN(A42)+1, 2)=" (")), OR(LEFT($L$3, 3)="All", $L$3="", $L$3=B42, AND(LEFT($L$3, LEN(B42))=B42, MID($L$3, LEN(B42)+1, 2)=" ("))), C42-D42*6, NA())</f>
        <v>-10.619264379446671</v>
      </c>
      <c r="G42" s="3" t="s">
        <v>73</v>
      </c>
      <c r="H42" s="3" t="s">
        <v>112</v>
      </c>
      <c r="I42" s="3" t="str">
        <f>IF(AND(OR(LEFT($L$2, 3)="All", $L$2=""), OR(LEFT($L$3, 3)="All", $L$3="")), A42 &amp; " in " &amp; B42, IF(OR(LEFT($L$2, 3)&lt;&gt;"All", $L$2&lt;=""), B42, A42))</f>
        <v>poly(methyl methacrylate) in benzene</v>
      </c>
    </row>
    <row r="43" spans="1:9" ht="15" x14ac:dyDescent="0.3">
      <c r="A43" s="3" t="s">
        <v>100</v>
      </c>
      <c r="B43" s="3" t="s">
        <v>88</v>
      </c>
      <c r="C43" s="4">
        <v>-7.4861035130770759</v>
      </c>
      <c r="D43" s="4">
        <v>0.51461000000000001</v>
      </c>
      <c r="E43" s="4">
        <f>IF(AND(OR(LEFT($L$2, 3)="All", $L$2="", $L$2=A43, AND(LEFT($L$2, LEN(A43))=A43, MID($L$2, LEN(A43)+1, 2)=" (")), OR(LEFT($L$3, 3)="All", $L$3="", $L$3=B43, AND(LEFT($L$3, LEN(B43))=B43, MID($L$3, LEN(B43)+1, 2)=" ("))), C43-D43*3, NA())</f>
        <v>-9.0299335130770757</v>
      </c>
      <c r="F43" s="4">
        <f>IF(AND(OR(LEFT($L$2, 3)="All", $L$2="", $L$2=A43, AND(LEFT($L$2, LEN(A43))=A43, MID($L$2, LEN(A43)+1, 2)=" (")), OR(LEFT($L$3, 3)="All", $L$3="", $L$3=B43, AND(LEFT($L$3, LEN(B43))=B43, MID($L$3, LEN(B43)+1, 2)=" ("))), C43-D43*6, NA())</f>
        <v>-10.573763513077076</v>
      </c>
      <c r="G43" s="3" t="s">
        <v>73</v>
      </c>
      <c r="H43" s="3" t="s">
        <v>112</v>
      </c>
      <c r="I43" s="3" t="str">
        <f>IF(AND(OR(LEFT($L$2, 3)="All", $L$2=""), OR(LEFT($L$3, 3)="All", $L$3="")), A43 &amp; " in " &amp; B43, IF(OR(LEFT($L$2, 3)&lt;&gt;"All", $L$2&lt;=""), B43, A43))</f>
        <v>poly(methyl methacrylate) in benzene</v>
      </c>
    </row>
    <row r="44" spans="1:9" ht="15" x14ac:dyDescent="0.3">
      <c r="A44" s="3" t="s">
        <v>100</v>
      </c>
      <c r="B44" s="3" t="s">
        <v>92</v>
      </c>
      <c r="C44" s="4">
        <v>-7.53</v>
      </c>
      <c r="D44" s="4">
        <v>0.56000000000000005</v>
      </c>
      <c r="E44" s="4">
        <f>IF(AND(OR(LEFT($L$2, 3)="All", $L$2="", $L$2=A44, AND(LEFT($L$2, LEN(A44))=A44, MID($L$2, LEN(A44)+1, 2)=" (")), OR(LEFT($L$3, 3)="All", $L$3="", $L$3=B44, AND(LEFT($L$3, LEN(B44))=B44, MID($L$3, LEN(B44)+1, 2)=" ("))), C44-D44*3, NA())</f>
        <v>-9.2100000000000009</v>
      </c>
      <c r="F44" s="4">
        <f>IF(AND(OR(LEFT($L$2, 3)="All", $L$2="", $L$2=A44, AND(LEFT($L$2, LEN(A44))=A44, MID($L$2, LEN(A44)+1, 2)=" (")), OR(LEFT($L$3, 3)="All", $L$3="", $L$3=B44, AND(LEFT($L$3, LEN(B44))=B44, MID($L$3, LEN(B44)+1, 2)=" ("))), C44-D44*6, NA())</f>
        <v>-10.89</v>
      </c>
      <c r="G44" s="3" t="s">
        <v>68</v>
      </c>
      <c r="H44" s="3" t="s">
        <v>84</v>
      </c>
      <c r="I44" s="3" t="str">
        <f>IF(AND(OR(LEFT($L$2, 3)="All", $L$2=""), OR(LEFT($L$3, 3)="All", $L$3="")), A44 &amp; " in " &amp; B44, IF(OR(LEFT($L$2, 3)&lt;&gt;"All", $L$2&lt;=""), B44, A44))</f>
        <v>poly(methyl methacrylate) in chloroform-d</v>
      </c>
    </row>
    <row r="45" spans="1:9" ht="15" x14ac:dyDescent="0.3">
      <c r="A45" s="3" t="s">
        <v>100</v>
      </c>
      <c r="B45" s="3" t="s">
        <v>92</v>
      </c>
      <c r="C45" s="4">
        <v>-7.5798510912237651</v>
      </c>
      <c r="D45" s="4">
        <v>0.54321900000000001</v>
      </c>
      <c r="E45" s="4">
        <f>IF(AND(OR(LEFT($L$2, 3)="All", $L$2="", $L$2=A45, AND(LEFT($L$2, LEN(A45))=A45, MID($L$2, LEN(A45)+1, 2)=" (")), OR(LEFT($L$3, 3)="All", $L$3="", $L$3=B45, AND(LEFT($L$3, LEN(B45))=B45, MID($L$3, LEN(B45)+1, 2)=" ("))), C45-D45*3, NA())</f>
        <v>-9.2095080912237641</v>
      </c>
      <c r="F45" s="4">
        <f>IF(AND(OR(LEFT($L$2, 3)="All", $L$2="", $L$2=A45, AND(LEFT($L$2, LEN(A45))=A45, MID($L$2, LEN(A45)+1, 2)=" (")), OR(LEFT($L$3, 3)="All", $L$3="", $L$3=B45, AND(LEFT($L$3, LEN(B45))=B45, MID($L$3, LEN(B45)+1, 2)=" ("))), C45-D45*6, NA())</f>
        <v>-10.839165091223766</v>
      </c>
      <c r="G45" s="3" t="s">
        <v>72</v>
      </c>
      <c r="H45" s="3" t="s">
        <v>84</v>
      </c>
      <c r="I45" s="3" t="str">
        <f>IF(AND(OR(LEFT($L$2, 3)="All", $L$2=""), OR(LEFT($L$3, 3)="All", $L$3="")), A45 &amp; " in " &amp; B45, IF(OR(LEFT($L$2, 3)&lt;&gt;"All", $L$2&lt;=""), B45, A45))</f>
        <v>poly(methyl methacrylate) in chloroform-d</v>
      </c>
    </row>
    <row r="46" spans="1:9" ht="15" x14ac:dyDescent="0.3">
      <c r="A46" s="3" t="s">
        <v>100</v>
      </c>
      <c r="B46" s="3" t="s">
        <v>92</v>
      </c>
      <c r="C46" s="4">
        <v>-7.4166198354129307</v>
      </c>
      <c r="D46" s="4">
        <v>0.58372000000000002</v>
      </c>
      <c r="E46" s="4">
        <f>IF(AND(OR(LEFT($L$2, 3)="All", $L$2="", $L$2=A46, AND(LEFT($L$2, LEN(A46))=A46, MID($L$2, LEN(A46)+1, 2)=" (")), OR(LEFT($L$3, 3)="All", $L$3="", $L$3=B46, AND(LEFT($L$3, LEN(B46))=B46, MID($L$3, LEN(B46)+1, 2)=" ("))), C46-D46*3, NA())</f>
        <v>-9.1677798354129312</v>
      </c>
      <c r="F46" s="4">
        <f>IF(AND(OR(LEFT($L$2, 3)="All", $L$2="", $L$2=A46, AND(LEFT($L$2, LEN(A46))=A46, MID($L$2, LEN(A46)+1, 2)=" (")), OR(LEFT($L$3, 3)="All", $L$3="", $L$3=B46, AND(LEFT($L$3, LEN(B46))=B46, MID($L$3, LEN(B46)+1, 2)=" ("))), C46-D46*6, NA())</f>
        <v>-10.918939835412932</v>
      </c>
      <c r="G46" s="3" t="s">
        <v>73</v>
      </c>
      <c r="H46" s="3" t="s">
        <v>89</v>
      </c>
      <c r="I46" s="3" t="str">
        <f>IF(AND(OR(LEFT($L$2, 3)="All", $L$2=""), OR(LEFT($L$3, 3)="All", $L$3="")), A46 &amp; " in " &amp; B46, IF(OR(LEFT($L$2, 3)&lt;&gt;"All", $L$2&lt;=""), B46, A46))</f>
        <v>poly(methyl methacrylate) in chloroform-d</v>
      </c>
    </row>
    <row r="47" spans="1:9" ht="15" x14ac:dyDescent="0.3">
      <c r="A47" s="3" t="s">
        <v>100</v>
      </c>
      <c r="B47" s="3" t="s">
        <v>94</v>
      </c>
      <c r="C47" s="4">
        <v>-7.4896788968190702</v>
      </c>
      <c r="D47" s="4">
        <v>0.53678000000000003</v>
      </c>
      <c r="E47" s="4">
        <f>IF(AND(OR(LEFT($L$2, 3)="All", $L$2="", $L$2=A47, AND(LEFT($L$2, LEN(A47))=A47, MID($L$2, LEN(A47)+1, 2)=" (")), OR(LEFT($L$3, 3)="All", $L$3="", $L$3=B47, AND(LEFT($L$3, LEN(B47))=B47, MID($L$3, LEN(B47)+1, 2)=" ("))), C47-D47*3, NA())</f>
        <v>-9.1000188968190709</v>
      </c>
      <c r="F47" s="4">
        <f>IF(AND(OR(LEFT($L$2, 3)="All", $L$2="", $L$2=A47, AND(LEFT($L$2, LEN(A47))=A47, MID($L$2, LEN(A47)+1, 2)=" (")), OR(LEFT($L$3, 3)="All", $L$3="", $L$3=B47, AND(LEFT($L$3, LEN(B47))=B47, MID($L$3, LEN(B47)+1, 2)=" ("))), C47-D47*6, NA())</f>
        <v>-10.71035889681907</v>
      </c>
      <c r="G47" s="3" t="s">
        <v>72</v>
      </c>
      <c r="H47" s="3" t="s">
        <v>84</v>
      </c>
      <c r="I47" s="3" t="str">
        <f>IF(AND(OR(LEFT($L$2, 3)="All", $L$2=""), OR(LEFT($L$3, 3)="All", $L$3="")), A47 &amp; " in " &amp; B47, IF(OR(LEFT($L$2, 3)&lt;&gt;"All", $L$2&lt;=""), B47, A47))</f>
        <v>poly(methyl methacrylate) in dichloromethane</v>
      </c>
    </row>
    <row r="48" spans="1:9" ht="15" x14ac:dyDescent="0.3">
      <c r="A48" s="3" t="s">
        <v>100</v>
      </c>
      <c r="B48" s="3" t="s">
        <v>94</v>
      </c>
      <c r="C48" s="4">
        <v>-7.2856870087051986</v>
      </c>
      <c r="D48" s="4">
        <v>0.58735999999999999</v>
      </c>
      <c r="E48" s="4">
        <f>IF(AND(OR(LEFT($L$2, 3)="All", $L$2="", $L$2=A48, AND(LEFT($L$2, LEN(A48))=A48, MID($L$2, LEN(A48)+1, 2)=" (")), OR(LEFT($L$3, 3)="All", $L$3="", $L$3=B48, AND(LEFT($L$3, LEN(B48))=B48, MID($L$3, LEN(B48)+1, 2)=" ("))), C48-D48*3, NA())</f>
        <v>-9.0477670087051987</v>
      </c>
      <c r="F48" s="4">
        <f>IF(AND(OR(LEFT($L$2, 3)="All", $L$2="", $L$2=A48, AND(LEFT($L$2, LEN(A48))=A48, MID($L$2, LEN(A48)+1, 2)=" (")), OR(LEFT($L$3, 3)="All", $L$3="", $L$3=B48, AND(LEFT($L$3, LEN(B48))=B48, MID($L$3, LEN(B48)+1, 2)=" ("))), C48-D48*6, NA())</f>
        <v>-10.809847008705198</v>
      </c>
      <c r="G48" s="3" t="s">
        <v>73</v>
      </c>
      <c r="H48" s="3" t="s">
        <v>89</v>
      </c>
      <c r="I48" s="3" t="str">
        <f>IF(AND(OR(LEFT($L$2, 3)="All", $L$2=""), OR(LEFT($L$3, 3)="All", $L$3="")), A48 &amp; " in " &amp; B48, IF(OR(LEFT($L$2, 3)&lt;&gt;"All", $L$2&lt;=""), B48, A48))</f>
        <v>poly(methyl methacrylate) in dichloromethane</v>
      </c>
    </row>
    <row r="49" spans="1:9" ht="15" x14ac:dyDescent="0.3">
      <c r="A49" s="3" t="s">
        <v>100</v>
      </c>
      <c r="B49" s="3" t="s">
        <v>103</v>
      </c>
      <c r="C49" s="4">
        <v>-8.505773029599105</v>
      </c>
      <c r="D49" s="4">
        <v>0.44423600000000002</v>
      </c>
      <c r="E49" s="4">
        <f>IF(AND(OR(LEFT($L$2, 3)="All", $L$2="", $L$2=A49, AND(LEFT($L$2, LEN(A49))=A49, MID($L$2, LEN(A49)+1, 2)=" (")), OR(LEFT($L$3, 3)="All", $L$3="", $L$3=B49, AND(LEFT($L$3, LEN(B49))=B49, MID($L$3, LEN(B49)+1, 2)=" ("))), C49-D49*3, NA())</f>
        <v>-9.8384810295991052</v>
      </c>
      <c r="F49" s="4">
        <f>IF(AND(OR(LEFT($L$2, 3)="All", $L$2="", $L$2=A49, AND(LEFT($L$2, LEN(A49))=A49, MID($L$2, LEN(A49)+1, 2)=" (")), OR(LEFT($L$3, 3)="All", $L$3="", $L$3=B49, AND(LEFT($L$3, LEN(B49))=B49, MID($L$3, LEN(B49)+1, 2)=" ("))), C49-D49*6, NA())</f>
        <v>-11.171189029599105</v>
      </c>
      <c r="G49" s="3" t="s">
        <v>72</v>
      </c>
      <c r="H49" s="3" t="s">
        <v>84</v>
      </c>
      <c r="I49" s="3" t="str">
        <f>IF(AND(OR(LEFT($L$2, 3)="All", $L$2=""), OR(LEFT($L$3, 3)="All", $L$3="")), A49 &amp; " in " &amp; B49, IF(OR(LEFT($L$2, 3)&lt;&gt;"All", $L$2&lt;=""), B49, A49))</f>
        <v>poly(methyl methacrylate) in dimethyl sulfoxide</v>
      </c>
    </row>
    <row r="50" spans="1:9" ht="15" x14ac:dyDescent="0.3">
      <c r="A50" s="3" t="s">
        <v>100</v>
      </c>
      <c r="B50" s="3" t="s">
        <v>103</v>
      </c>
      <c r="C50" s="4">
        <v>-8.5057758130830976</v>
      </c>
      <c r="D50" s="4">
        <v>0.44424000000000002</v>
      </c>
      <c r="E50" s="4">
        <f>IF(AND(OR(LEFT($L$2, 3)="All", $L$2="", $L$2=A50, AND(LEFT($L$2, LEN(A50))=A50, MID($L$2, LEN(A50)+1, 2)=" (")), OR(LEFT($L$3, 3)="All", $L$3="", $L$3=B50, AND(LEFT($L$3, LEN(B50))=B50, MID($L$3, LEN(B50)+1, 2)=" ("))), C50-D50*3, NA())</f>
        <v>-9.8384958130830977</v>
      </c>
      <c r="F50" s="4">
        <f>IF(AND(OR(LEFT($L$2, 3)="All", $L$2="", $L$2=A50, AND(LEFT($L$2, LEN(A50))=A50, MID($L$2, LEN(A50)+1, 2)=" (")), OR(LEFT($L$3, 3)="All", $L$3="", $L$3=B50, AND(LEFT($L$3, LEN(B50))=B50, MID($L$3, LEN(B50)+1, 2)=" ("))), C50-D50*6, NA())</f>
        <v>-11.171215813083098</v>
      </c>
      <c r="G50" s="3" t="s">
        <v>73</v>
      </c>
      <c r="H50" s="3" t="s">
        <v>89</v>
      </c>
      <c r="I50" s="3" t="str">
        <f>IF(AND(OR(LEFT($L$2, 3)="All", $L$2=""), OR(LEFT($L$3, 3)="All", $L$3="")), A50 &amp; " in " &amp; B50, IF(OR(LEFT($L$2, 3)&lt;&gt;"All", $L$2&lt;=""), B50, A50))</f>
        <v>poly(methyl methacrylate) in dimethyl sulfoxide</v>
      </c>
    </row>
    <row r="51" spans="1:9" ht="15" x14ac:dyDescent="0.3">
      <c r="A51" s="3" t="s">
        <v>100</v>
      </c>
      <c r="B51" s="3" t="s">
        <v>96</v>
      </c>
      <c r="C51" s="4">
        <v>-8.02</v>
      </c>
      <c r="D51" s="4">
        <v>0.43</v>
      </c>
      <c r="E51" s="4">
        <f>IF(AND(OR(LEFT($L$2, 3)="All", $L$2="", $L$2=A51, AND(LEFT($L$2, LEN(A51))=A51, MID($L$2, LEN(A51)+1, 2)=" (")), OR(LEFT($L$3, 3)="All", $L$3="", $L$3=B51, AND(LEFT($L$3, LEN(B51))=B51, MID($L$3, LEN(B51)+1, 2)=" ("))), C51-D51*3, NA())</f>
        <v>-9.3099999999999987</v>
      </c>
      <c r="F51" s="4">
        <f>IF(AND(OR(LEFT($L$2, 3)="All", $L$2="", $L$2=A51, AND(LEFT($L$2, LEN(A51))=A51, MID($L$2, LEN(A51)+1, 2)=" (")), OR(LEFT($L$3, 3)="All", $L$3="", $L$3=B51, AND(LEFT($L$3, LEN(B51))=B51, MID($L$3, LEN(B51)+1, 2)=" ("))), C51-D51*6, NA())</f>
        <v>-10.6</v>
      </c>
      <c r="G51" s="3" t="s">
        <v>71</v>
      </c>
      <c r="H51" s="3" t="s">
        <v>84</v>
      </c>
      <c r="I51" s="3" t="str">
        <f>IF(AND(OR(LEFT($L$2, 3)="All", $L$2=""), OR(LEFT($L$3, 3)="All", $L$3="")), A51 &amp; " in " &amp; B51, IF(OR(LEFT($L$2, 3)&lt;&gt;"All", $L$2&lt;=""), B51, A51))</f>
        <v>poly(methyl methacrylate) in tetrahydrofuran</v>
      </c>
    </row>
    <row r="52" spans="1:9" ht="15" x14ac:dyDescent="0.3">
      <c r="A52" s="3" t="s">
        <v>100</v>
      </c>
      <c r="B52" s="3" t="s">
        <v>96</v>
      </c>
      <c r="C52" s="4">
        <v>-7.6146547389538801</v>
      </c>
      <c r="D52" s="4">
        <v>0.51760799999999996</v>
      </c>
      <c r="E52" s="4">
        <f>IF(AND(OR(LEFT($L$2, 3)="All", $L$2="", $L$2=A52, AND(LEFT($L$2, LEN(A52))=A52, MID($L$2, LEN(A52)+1, 2)=" (")), OR(LEFT($L$3, 3)="All", $L$3="", $L$3=B52, AND(LEFT($L$3, LEN(B52))=B52, MID($L$3, LEN(B52)+1, 2)=" ("))), C52-D52*3, NA())</f>
        <v>-9.1674787389538803</v>
      </c>
      <c r="F52" s="4">
        <f>IF(AND(OR(LEFT($L$2, 3)="All", $L$2="", $L$2=A52, AND(LEFT($L$2, LEN(A52))=A52, MID($L$2, LEN(A52)+1, 2)=" (")), OR(LEFT($L$3, 3)="All", $L$3="", $L$3=B52, AND(LEFT($L$3, LEN(B52))=B52, MID($L$3, LEN(B52)+1, 2)=" ("))), C52-D52*6, NA())</f>
        <v>-10.72030273895388</v>
      </c>
      <c r="G52" s="3" t="s">
        <v>72</v>
      </c>
      <c r="H52" s="3" t="s">
        <v>84</v>
      </c>
      <c r="I52" s="3" t="str">
        <f>IF(AND(OR(LEFT($L$2, 3)="All", $L$2=""), OR(LEFT($L$3, 3)="All", $L$3="")), A52 &amp; " in " &amp; B52, IF(OR(LEFT($L$2, 3)&lt;&gt;"All", $L$2&lt;=""), B52, A52))</f>
        <v>poly(methyl methacrylate) in tetrahydrofuran</v>
      </c>
    </row>
    <row r="53" spans="1:9" ht="15" x14ac:dyDescent="0.3">
      <c r="A53" s="3" t="s">
        <v>100</v>
      </c>
      <c r="B53" s="3" t="s">
        <v>96</v>
      </c>
      <c r="C53" s="4">
        <v>-7.4342347995478484</v>
      </c>
      <c r="D53" s="4">
        <v>0.56240000000000001</v>
      </c>
      <c r="E53" s="4">
        <f>IF(AND(OR(LEFT($L$2, 3)="All", $L$2="", $L$2=A53, AND(LEFT($L$2, LEN(A53))=A53, MID($L$2, LEN(A53)+1, 2)=" (")), OR(LEFT($L$3, 3)="All", $L$3="", $L$3=B53, AND(LEFT($L$3, LEN(B53))=B53, MID($L$3, LEN(B53)+1, 2)=" ("))), C53-D53*3, NA())</f>
        <v>-9.1214347995478491</v>
      </c>
      <c r="F53" s="4">
        <f>IF(AND(OR(LEFT($L$2, 3)="All", $L$2="", $L$2=A53, AND(LEFT($L$2, LEN(A53))=A53, MID($L$2, LEN(A53)+1, 2)=" (")), OR(LEFT($L$3, 3)="All", $L$3="", $L$3=B53, AND(LEFT($L$3, LEN(B53))=B53, MID($L$3, LEN(B53)+1, 2)=" ("))), C53-D53*6, NA())</f>
        <v>-10.808634799547848</v>
      </c>
      <c r="G53" s="3" t="s">
        <v>73</v>
      </c>
      <c r="H53" s="3" t="s">
        <v>89</v>
      </c>
      <c r="I53" s="3" t="str">
        <f>IF(AND(OR(LEFT($L$2, 3)="All", $L$2=""), OR(LEFT($L$3, 3)="All", $L$3="")), A53 &amp; " in " &amp; B53, IF(OR(LEFT($L$2, 3)&lt;&gt;"All", $L$2&lt;=""), B53, A53))</f>
        <v>poly(methyl methacrylate) in tetrahydrofuran</v>
      </c>
    </row>
    <row r="54" spans="1:9" ht="15" x14ac:dyDescent="0.3">
      <c r="A54" s="3" t="s">
        <v>100</v>
      </c>
      <c r="B54" s="3" t="s">
        <v>110</v>
      </c>
      <c r="C54" s="4">
        <v>-7.72</v>
      </c>
      <c r="D54" s="4">
        <v>0.5</v>
      </c>
      <c r="E54" s="4">
        <f>IF(AND(OR(LEFT($L$2, 3)="All", $L$2="", $L$2=A54, AND(LEFT($L$2, LEN(A54))=A54, MID($L$2, LEN(A54)+1, 2)=" (")), OR(LEFT($L$3, 3)="All", $L$3="", $L$3=B54, AND(LEFT($L$3, LEN(B54))=B54, MID($L$3, LEN(B54)+1, 2)=" ("))), C54-D54*3, NA())</f>
        <v>-9.2199999999999989</v>
      </c>
      <c r="F54" s="4">
        <f>IF(AND(OR(LEFT($L$2, 3)="All", $L$2="", $L$2=A54, AND(LEFT($L$2, LEN(A54))=A54, MID($L$2, LEN(A54)+1, 2)=" (")), OR(LEFT($L$3, 3)="All", $L$3="", $L$3=B54, AND(LEFT($L$3, LEN(B54))=B54, MID($L$3, LEN(B54)+1, 2)=" ("))), C54-D54*6, NA())</f>
        <v>-10.719999999999999</v>
      </c>
      <c r="G54" s="3" t="s">
        <v>68</v>
      </c>
      <c r="H54" s="3" t="s">
        <v>84</v>
      </c>
      <c r="I54" s="3" t="str">
        <f>IF(AND(OR(LEFT($L$2, 3)="All", $L$2=""), OR(LEFT($L$3, 3)="All", $L$3="")), A54 &amp; " in " &amp; B54, IF(OR(LEFT($L$2, 3)&lt;&gt;"All", $L$2&lt;=""), B54, A54))</f>
        <v>poly(methyl methacrylate) in toluene</v>
      </c>
    </row>
    <row r="55" spans="1:9" ht="15" x14ac:dyDescent="0.3">
      <c r="A55" s="3" t="s">
        <v>100</v>
      </c>
      <c r="B55" s="3" t="s">
        <v>110</v>
      </c>
      <c r="C55" s="4">
        <v>-8.11</v>
      </c>
      <c r="D55" s="4">
        <v>0.43</v>
      </c>
      <c r="E55" s="4">
        <f>IF(AND(OR(LEFT($L$2, 3)="All", $L$2="", $L$2=A55, AND(LEFT($L$2, LEN(A55))=A55, MID($L$2, LEN(A55)+1, 2)=" (")), OR(LEFT($L$3, 3)="All", $L$3="", $L$3=B55, AND(LEFT($L$3, LEN(B55))=B55, MID($L$3, LEN(B55)+1, 2)=" ("))), C55-D55*3, NA())</f>
        <v>-9.3999999999999986</v>
      </c>
      <c r="F55" s="4">
        <f>IF(AND(OR(LEFT($L$2, 3)="All", $L$2="", $L$2=A55, AND(LEFT($L$2, LEN(A55))=A55, MID($L$2, LEN(A55)+1, 2)=" (")), OR(LEFT($L$3, 3)="All", $L$3="", $L$3=B55, AND(LEFT($L$3, LEN(B55))=B55, MID($L$3, LEN(B55)+1, 2)=" ("))), C55-D55*6, NA())</f>
        <v>-10.69</v>
      </c>
      <c r="G55" s="3" t="s">
        <v>71</v>
      </c>
      <c r="H55" s="3" t="s">
        <v>84</v>
      </c>
      <c r="I55" s="3" t="str">
        <f>IF(AND(OR(LEFT($L$2, 3)="All", $L$2=""), OR(LEFT($L$3, 3)="All", $L$3="")), A55 &amp; " in " &amp; B55, IF(OR(LEFT($L$2, 3)&lt;&gt;"All", $L$2&lt;=""), B55, A55))</f>
        <v>poly(methyl methacrylate) in toluene</v>
      </c>
    </row>
    <row r="56" spans="1:9" ht="15" x14ac:dyDescent="0.3">
      <c r="A56" s="3" t="s">
        <v>102</v>
      </c>
      <c r="B56" s="3" t="s">
        <v>88</v>
      </c>
      <c r="C56" s="4">
        <v>-7.3885847361771058</v>
      </c>
      <c r="D56" s="4">
        <v>0.61614000000000002</v>
      </c>
      <c r="E56" s="4">
        <f>IF(AND(OR(LEFT($L$2, 3)="All", $L$2="", $L$2=A56, AND(LEFT($L$2, LEN(A56))=A56, MID($L$2, LEN(A56)+1, 2)=" (")), OR(LEFT($L$3, 3)="All", $L$3="", $L$3=B56, AND(LEFT($L$3, LEN(B56))=B56, MID($L$3, LEN(B56)+1, 2)=" ("))), C56-D56*3, NA())</f>
        <v>-9.2370047361771057</v>
      </c>
      <c r="F56" s="4">
        <f>IF(AND(OR(LEFT($L$2, 3)="All", $L$2="", $L$2=A56, AND(LEFT($L$2, LEN(A56))=A56, MID($L$2, LEN(A56)+1, 2)=" (")), OR(LEFT($L$3, 3)="All", $L$3="", $L$3=B56, AND(LEFT($L$3, LEN(B56))=B56, MID($L$3, LEN(B56)+1, 2)=" ("))), C56-D56*6, NA())</f>
        <v>-11.085424736177107</v>
      </c>
      <c r="G56" s="3" t="s">
        <v>73</v>
      </c>
      <c r="H56" s="3" t="s">
        <v>89</v>
      </c>
      <c r="I56" s="3" t="str">
        <f>IF(AND(OR(LEFT($L$2, 3)="All", $L$2=""), OR(LEFT($L$3, 3)="All", $L$3="")), A56 &amp; " in " &amp; B56, IF(OR(LEFT($L$2, 3)&lt;&gt;"All", $L$2&lt;=""), B56, A56))</f>
        <v>polyimide in benzene</v>
      </c>
    </row>
    <row r="57" spans="1:9" ht="15" x14ac:dyDescent="0.3">
      <c r="A57" s="3" t="s">
        <v>102</v>
      </c>
      <c r="B57" s="3" t="s">
        <v>92</v>
      </c>
      <c r="C57" s="4">
        <v>-7.298285260295005</v>
      </c>
      <c r="D57" s="4">
        <v>0.62721000000000005</v>
      </c>
      <c r="E57" s="4">
        <f>IF(AND(OR(LEFT($L$2, 3)="All", $L$2="", $L$2=A57, AND(LEFT($L$2, LEN(A57))=A57, MID($L$2, LEN(A57)+1, 2)=" (")), OR(LEFT($L$3, 3)="All", $L$3="", $L$3=B57, AND(LEFT($L$3, LEN(B57))=B57, MID($L$3, LEN(B57)+1, 2)=" ("))), C57-D57*3, NA())</f>
        <v>-9.1799152602950045</v>
      </c>
      <c r="F57" s="4">
        <f>IF(AND(OR(LEFT($L$2, 3)="All", $L$2="", $L$2=A57, AND(LEFT($L$2, LEN(A57))=A57, MID($L$2, LEN(A57)+1, 2)=" (")), OR(LEFT($L$3, 3)="All", $L$3="", $L$3=B57, AND(LEFT($L$3, LEN(B57))=B57, MID($L$3, LEN(B57)+1, 2)=" ("))), C57-D57*6, NA())</f>
        <v>-11.061545260295006</v>
      </c>
      <c r="G57" s="3" t="s">
        <v>73</v>
      </c>
      <c r="H57" s="3" t="s">
        <v>89</v>
      </c>
      <c r="I57" s="3" t="str">
        <f>IF(AND(OR(LEFT($L$2, 3)="All", $L$2=""), OR(LEFT($L$3, 3)="All", $L$3="")), A57 &amp; " in " &amp; B57, IF(OR(LEFT($L$2, 3)&lt;&gt;"All", $L$2&lt;=""), B57, A57))</f>
        <v>polyimide in chloroform-d</v>
      </c>
    </row>
    <row r="58" spans="1:9" ht="15" x14ac:dyDescent="0.3">
      <c r="A58" s="3" t="s">
        <v>102</v>
      </c>
      <c r="B58" s="3" t="s">
        <v>94</v>
      </c>
      <c r="C58" s="4">
        <v>-7.3801243914999572</v>
      </c>
      <c r="D58" s="4">
        <v>0.57316999999999996</v>
      </c>
      <c r="E58" s="4">
        <f>IF(AND(OR(LEFT($L$2, 3)="All", $L$2="", $L$2=A58, AND(LEFT($L$2, LEN(A58))=A58, MID($L$2, LEN(A58)+1, 2)=" (")), OR(LEFT($L$3, 3)="All", $L$3="", $L$3=B58, AND(LEFT($L$3, LEN(B58))=B58, MID($L$3, LEN(B58)+1, 2)=" ("))), C58-D58*3, NA())</f>
        <v>-9.0996343914999578</v>
      </c>
      <c r="F58" s="4">
        <f>IF(AND(OR(LEFT($L$2, 3)="All", $L$2="", $L$2=A58, AND(LEFT($L$2, LEN(A58))=A58, MID($L$2, LEN(A58)+1, 2)=" (")), OR(LEFT($L$3, 3)="All", $L$3="", $L$3=B58, AND(LEFT($L$3, LEN(B58))=B58, MID($L$3, LEN(B58)+1, 2)=" ("))), C58-D58*6, NA())</f>
        <v>-10.819144391499957</v>
      </c>
      <c r="G58" s="3" t="s">
        <v>73</v>
      </c>
      <c r="H58" s="3" t="s">
        <v>89</v>
      </c>
      <c r="I58" s="3" t="str">
        <f>IF(AND(OR(LEFT($L$2, 3)="All", $L$2=""), OR(LEFT($L$3, 3)="All", $L$3="")), A58 &amp; " in " &amp; B58, IF(OR(LEFT($L$2, 3)&lt;&gt;"All", $L$2&lt;=""), B58, A58))</f>
        <v>polyimide in dichloromethane</v>
      </c>
    </row>
    <row r="59" spans="1:9" ht="15" x14ac:dyDescent="0.3">
      <c r="A59" s="3" t="s">
        <v>102</v>
      </c>
      <c r="B59" s="3" t="s">
        <v>96</v>
      </c>
      <c r="C59" s="4">
        <v>-7.3304971658956566</v>
      </c>
      <c r="D59" s="4">
        <v>0.60811000000000004</v>
      </c>
      <c r="E59" s="4">
        <f>IF(AND(OR(LEFT($L$2, 3)="All", $L$2="", $L$2=A59, AND(LEFT($L$2, LEN(A59))=A59, MID($L$2, LEN(A59)+1, 2)=" (")), OR(LEFT($L$3, 3)="All", $L$3="", $L$3=B59, AND(LEFT($L$3, LEN(B59))=B59, MID($L$3, LEN(B59)+1, 2)=" ("))), C59-D59*3, NA())</f>
        <v>-9.1548271658956573</v>
      </c>
      <c r="F59" s="4">
        <f>IF(AND(OR(LEFT($L$2, 3)="All", $L$2="", $L$2=A59, AND(LEFT($L$2, LEN(A59))=A59, MID($L$2, LEN(A59)+1, 2)=" (")), OR(LEFT($L$3, 3)="All", $L$3="", $L$3=B59, AND(LEFT($L$3, LEN(B59))=B59, MID($L$3, LEN(B59)+1, 2)=" ("))), C59-D59*6, NA())</f>
        <v>-10.979157165895657</v>
      </c>
      <c r="G59" s="3" t="s">
        <v>73</v>
      </c>
      <c r="H59" s="3" t="s">
        <v>89</v>
      </c>
      <c r="I59" s="3" t="str">
        <f>IF(AND(OR(LEFT($L$2, 3)="All", $L$2=""), OR(LEFT($L$3, 3)="All", $L$3="")), A59 &amp; " in " &amp; B59, IF(OR(LEFT($L$2, 3)&lt;&gt;"All", $L$2&lt;=""), B59, A59))</f>
        <v>polyimide in tetrahydrofuran</v>
      </c>
    </row>
    <row r="60" spans="1:9" ht="15" x14ac:dyDescent="0.3">
      <c r="A60" s="3" t="s">
        <v>105</v>
      </c>
      <c r="B60" s="3" t="s">
        <v>91</v>
      </c>
      <c r="C60" s="4">
        <v>-7.78</v>
      </c>
      <c r="D60" s="4">
        <v>0.43</v>
      </c>
      <c r="E60" s="4">
        <f>IF(AND(OR(LEFT($L$2, 3)="All", $L$2="", $L$2=A60, AND(LEFT($L$2, LEN(A60))=A60, MID($L$2, LEN(A60)+1, 2)=" (")), OR(LEFT($L$3, 3)="All", $L$3="", $L$3=B60, AND(LEFT($L$3, LEN(B60))=B60, MID($L$3, LEN(B60)+1, 2)=" ("))), C60-D60*3, NA())</f>
        <v>-9.07</v>
      </c>
      <c r="F60" s="4">
        <f>IF(AND(OR(LEFT($L$2, 3)="All", $L$2="", $L$2=A60, AND(LEFT($L$2, LEN(A60))=A60, MID($L$2, LEN(A60)+1, 2)=" (")), OR(LEFT($L$3, 3)="All", $L$3="", $L$3=B60, AND(LEFT($L$3, LEN(B60))=B60, MID($L$3, LEN(B60)+1, 2)=" ("))), C60-D60*6, NA())</f>
        <v>-10.36</v>
      </c>
      <c r="G60" s="3" t="s">
        <v>68</v>
      </c>
      <c r="H60" s="3" t="s">
        <v>111</v>
      </c>
      <c r="I60" s="3" t="str">
        <f>IF(AND(OR(LEFT($L$2, 3)="All", $L$2=""), OR(LEFT($L$3, 3)="All", $L$3="")), A60 &amp; " in " &amp; B60, IF(OR(LEFT($L$2, 3)&lt;&gt;"All", $L$2&lt;=""), B60, A60))</f>
        <v>polymer_name in acetone</v>
      </c>
    </row>
    <row r="61" spans="1:9" ht="15" x14ac:dyDescent="0.3">
      <c r="A61" s="3" t="s">
        <v>105</v>
      </c>
      <c r="B61" s="3" t="s">
        <v>96</v>
      </c>
      <c r="C61" s="4">
        <v>-7.7338388877805988</v>
      </c>
      <c r="D61" s="4">
        <v>0.51372499999999999</v>
      </c>
      <c r="E61" s="4">
        <f>IF(AND(OR(LEFT($L$2, 3)="All", $L$2="", $L$2=A61, AND(LEFT($L$2, LEN(A61))=A61, MID($L$2, LEN(A61)+1, 2)=" (")), OR(LEFT($L$3, 3)="All", $L$3="", $L$3=B61, AND(LEFT($L$3, LEN(B61))=B61, MID($L$3, LEN(B61)+1, 2)=" ("))), C61-D61*3, NA())</f>
        <v>-9.2750138877805988</v>
      </c>
      <c r="F61" s="4">
        <f>IF(AND(OR(LEFT($L$2, 3)="All", $L$2="", $L$2=A61, AND(LEFT($L$2, LEN(A61))=A61, MID($L$2, LEN(A61)+1, 2)=" (")), OR(LEFT($L$3, 3)="All", $L$3="", $L$3=B61, AND(LEFT($L$3, LEN(B61))=B61, MID($L$3, LEN(B61)+1, 2)=" ("))), C61-D61*6, NA())</f>
        <v>-10.816188887780598</v>
      </c>
      <c r="G61" s="3" t="s">
        <v>72</v>
      </c>
      <c r="H61" s="3" t="s">
        <v>84</v>
      </c>
      <c r="I61" s="3" t="str">
        <f>IF(AND(OR(LEFT($L$2, 3)="All", $L$2=""), OR(LEFT($L$3, 3)="All", $L$3="")), A61 &amp; " in " &amp; B61, IF(OR(LEFT($L$2, 3)&lt;&gt;"All", $L$2&lt;=""), B61, A61))</f>
        <v>polymer_name in tetrahydrofuran</v>
      </c>
    </row>
    <row r="62" spans="1:9" ht="15" x14ac:dyDescent="0.3">
      <c r="A62" s="3" t="s">
        <v>107</v>
      </c>
      <c r="B62" s="3" t="s">
        <v>91</v>
      </c>
      <c r="C62" s="4">
        <v>-7.6791477801682451</v>
      </c>
      <c r="D62" s="4">
        <v>0.45208900000000002</v>
      </c>
      <c r="E62" s="4">
        <f>IF(AND(OR(LEFT($L$2, 3)="All", $L$2="", $L$2=A62, AND(LEFT($L$2, LEN(A62))=A62, MID($L$2, LEN(A62)+1, 2)=" (")), OR(LEFT($L$3, 3)="All", $L$3="", $L$3=B62, AND(LEFT($L$3, LEN(B62))=B62, MID($L$3, LEN(B62)+1, 2)=" ("))), C62-D62*3, NA())</f>
        <v>-9.0354147801682458</v>
      </c>
      <c r="F62" s="4">
        <f>IF(AND(OR(LEFT($L$2, 3)="All", $L$2="", $L$2=A62, AND(LEFT($L$2, LEN(A62))=A62, MID($L$2, LEN(A62)+1, 2)=" (")), OR(LEFT($L$3, 3)="All", $L$3="", $L$3=B62, AND(LEFT($L$3, LEN(B62))=B62, MID($L$3, LEN(B62)+1, 2)=" ("))), C62-D62*6, NA())</f>
        <v>-10.391681780168245</v>
      </c>
      <c r="G62" s="3" t="s">
        <v>72</v>
      </c>
      <c r="H62" s="3" t="s">
        <v>84</v>
      </c>
      <c r="I62" s="3" t="str">
        <f>IF(AND(OR(LEFT($L$2, 3)="All", $L$2=""), OR(LEFT($L$3, 3)="All", $L$3="")), A62 &amp; " in " &amp; B62, IF(OR(LEFT($L$2, 3)&lt;&gt;"All", $L$2&lt;=""), B62, A62))</f>
        <v>polystyrene in acetone</v>
      </c>
    </row>
    <row r="63" spans="1:9" ht="15" x14ac:dyDescent="0.3">
      <c r="A63" s="3" t="s">
        <v>107</v>
      </c>
      <c r="B63" s="3" t="s">
        <v>91</v>
      </c>
      <c r="C63" s="4">
        <v>-7.6791477801682451</v>
      </c>
      <c r="D63" s="4">
        <v>0.45208999999999999</v>
      </c>
      <c r="E63" s="4">
        <f>IF(AND(OR(LEFT($L$2, 3)="All", $L$2="", $L$2=A63, AND(LEFT($L$2, LEN(A63))=A63, MID($L$2, LEN(A63)+1, 2)=" (")), OR(LEFT($L$3, 3)="All", $L$3="", $L$3=B63, AND(LEFT($L$3, LEN(B63))=B63, MID($L$3, LEN(B63)+1, 2)=" ("))), C63-D63*3, NA())</f>
        <v>-9.0354177801682454</v>
      </c>
      <c r="F63" s="4">
        <f>IF(AND(OR(LEFT($L$2, 3)="All", $L$2="", $L$2=A63, AND(LEFT($L$2, LEN(A63))=A63, MID($L$2, LEN(A63)+1, 2)=" (")), OR(LEFT($L$3, 3)="All", $L$3="", $L$3=B63, AND(LEFT($L$3, LEN(B63))=B63, MID($L$3, LEN(B63)+1, 2)=" ("))), C63-D63*6, NA())</f>
        <v>-10.391687780168244</v>
      </c>
      <c r="G63" s="3" t="s">
        <v>73</v>
      </c>
      <c r="H63" s="3" t="s">
        <v>89</v>
      </c>
      <c r="I63" s="3" t="str">
        <f>IF(AND(OR(LEFT($L$2, 3)="All", $L$2=""), OR(LEFT($L$3, 3)="All", $L$3="")), A63 &amp; " in " &amp; B63, IF(OR(LEFT($L$2, 3)&lt;&gt;"All", $L$2&lt;=""), B63, A63))</f>
        <v>polystyrene in acetone</v>
      </c>
    </row>
    <row r="64" spans="1:9" ht="15" x14ac:dyDescent="0.3">
      <c r="A64" s="3" t="s">
        <v>107</v>
      </c>
      <c r="B64" s="3" t="s">
        <v>88</v>
      </c>
      <c r="C64" s="4">
        <v>-7.7</v>
      </c>
      <c r="D64" s="4">
        <v>0.54</v>
      </c>
      <c r="E64" s="4">
        <f>IF(AND(OR(LEFT($L$2, 3)="All", $L$2="", $L$2=A64, AND(LEFT($L$2, LEN(A64))=A64, MID($L$2, LEN(A64)+1, 2)=" (")), OR(LEFT($L$3, 3)="All", $L$3="", $L$3=B64, AND(LEFT($L$3, LEN(B64))=B64, MID($L$3, LEN(B64)+1, 2)=" ("))), C64-D64*3, NA())</f>
        <v>-9.32</v>
      </c>
      <c r="F64" s="4">
        <f>IF(AND(OR(LEFT($L$2, 3)="All", $L$2="", $L$2=A64, AND(LEFT($L$2, LEN(A64))=A64, MID($L$2, LEN(A64)+1, 2)=" (")), OR(LEFT($L$3, 3)="All", $L$3="", $L$3=B64, AND(LEFT($L$3, LEN(B64))=B64, MID($L$3, LEN(B64)+1, 2)=" ("))), C64-D64*6, NA())</f>
        <v>-10.940000000000001</v>
      </c>
      <c r="G64" s="3" t="s">
        <v>68</v>
      </c>
      <c r="H64" s="3" t="s">
        <v>84</v>
      </c>
      <c r="I64" s="3" t="str">
        <f>IF(AND(OR(LEFT($L$2, 3)="All", $L$2=""), OR(LEFT($L$3, 3)="All", $L$3="")), A64 &amp; " in " &amp; B64, IF(OR(LEFT($L$2, 3)&lt;&gt;"All", $L$2&lt;=""), B64, A64))</f>
        <v>polystyrene in benzene</v>
      </c>
    </row>
    <row r="65" spans="1:9" ht="15" x14ac:dyDescent="0.3">
      <c r="A65" s="3" t="s">
        <v>107</v>
      </c>
      <c r="B65" s="3" t="s">
        <v>88</v>
      </c>
      <c r="C65" s="4">
        <v>-7.94</v>
      </c>
      <c r="D65" s="4">
        <v>0.49</v>
      </c>
      <c r="E65" s="4">
        <f>IF(AND(OR(LEFT($L$2, 3)="All", $L$2="", $L$2=A65, AND(LEFT($L$2, LEN(A65))=A65, MID($L$2, LEN(A65)+1, 2)=" (")), OR(LEFT($L$3, 3)="All", $L$3="", $L$3=B65, AND(LEFT($L$3, LEN(B65))=B65, MID($L$3, LEN(B65)+1, 2)=" ("))), C65-D65*3, NA())</f>
        <v>-9.41</v>
      </c>
      <c r="F65" s="4">
        <f>IF(AND(OR(LEFT($L$2, 3)="All", $L$2="", $L$2=A65, AND(LEFT($L$2, LEN(A65))=A65, MID($L$2, LEN(A65)+1, 2)=" (")), OR(LEFT($L$3, 3)="All", $L$3="", $L$3=B65, AND(LEFT($L$3, LEN(B65))=B65, MID($L$3, LEN(B65)+1, 2)=" ("))), C65-D65*6, NA())</f>
        <v>-10.88</v>
      </c>
      <c r="G65" s="3" t="s">
        <v>68</v>
      </c>
      <c r="H65" s="3" t="s">
        <v>111</v>
      </c>
      <c r="I65" s="3" t="str">
        <f>IF(AND(OR(LEFT($L$2, 3)="All", $L$2=""), OR(LEFT($L$3, 3)="All", $L$3="")), A65 &amp; " in " &amp; B65, IF(OR(LEFT($L$2, 3)&lt;&gt;"All", $L$2&lt;=""), B65, A65))</f>
        <v>polystyrene in benzene</v>
      </c>
    </row>
    <row r="66" spans="1:9" ht="15" x14ac:dyDescent="0.3">
      <c r="A66" s="3" t="s">
        <v>107</v>
      </c>
      <c r="B66" s="3" t="s">
        <v>88</v>
      </c>
      <c r="C66" s="4">
        <v>-7.718505297869414</v>
      </c>
      <c r="D66" s="4">
        <v>0.52829999999999999</v>
      </c>
      <c r="E66" s="4">
        <f>IF(AND(OR(LEFT($L$2, 3)="All", $L$2="", $L$2=A66, AND(LEFT($L$2, LEN(A66))=A66, MID($L$2, LEN(A66)+1, 2)=" (")), OR(LEFT($L$3, 3)="All", $L$3="", $L$3=B66, AND(LEFT($L$3, LEN(B66))=B66, MID($L$3, LEN(B66)+1, 2)=" ("))), C66-D66*3, NA())</f>
        <v>-9.3034052978694142</v>
      </c>
      <c r="F66" s="4">
        <f>IF(AND(OR(LEFT($L$2, 3)="All", $L$2="", $L$2=A66, AND(LEFT($L$2, LEN(A66))=A66, MID($L$2, LEN(A66)+1, 2)=" (")), OR(LEFT($L$3, 3)="All", $L$3="", $L$3=B66, AND(LEFT($L$3, LEN(B66))=B66, MID($L$3, LEN(B66)+1, 2)=" ("))), C66-D66*6, NA())</f>
        <v>-10.888305297869413</v>
      </c>
      <c r="G66" s="3" t="s">
        <v>72</v>
      </c>
      <c r="H66" s="3" t="s">
        <v>84</v>
      </c>
      <c r="I66" s="3" t="str">
        <f t="shared" ref="I66:I79" si="0">IF(AND(OR(LEFT($L$2, 3)="All", $L$2=""), OR(LEFT($L$3, 3)="All", $L$3="")), A66 &amp; " in " &amp; B66, IF(OR(LEFT($L$2, 3)&lt;&gt;"All", $L$2&lt;=""), B66, A66))</f>
        <v>polystyrene in benzene</v>
      </c>
    </row>
    <row r="67" spans="1:9" ht="15" x14ac:dyDescent="0.3">
      <c r="A67" s="3" t="s">
        <v>107</v>
      </c>
      <c r="B67" s="3" t="s">
        <v>88</v>
      </c>
      <c r="C67" s="4">
        <v>-7.5943975447906862</v>
      </c>
      <c r="D67" s="4">
        <v>0.56040999999999996</v>
      </c>
      <c r="E67" s="4">
        <f>IF(AND(OR(LEFT($L$2, 3)="All", $L$2="", $L$2=A67, AND(LEFT($L$2, LEN(A67))=A67, MID($L$2, LEN(A67)+1, 2)=" (")), OR(LEFT($L$3, 3)="All", $L$3="", $L$3=B67, AND(LEFT($L$3, LEN(B67))=B67, MID($L$3, LEN(B67)+1, 2)=" ("))), C67-D67*3, NA())</f>
        <v>-9.2756275447906855</v>
      </c>
      <c r="F67" s="4">
        <f>IF(AND(OR(LEFT($L$2, 3)="All", $L$2="", $L$2=A67, AND(LEFT($L$2, LEN(A67))=A67, MID($L$2, LEN(A67)+1, 2)=" (")), OR(LEFT($L$3, 3)="All", $L$3="", $L$3=B67, AND(LEFT($L$3, LEN(B67))=B67, MID($L$3, LEN(B67)+1, 2)=" ("))), C67-D67*6, NA())</f>
        <v>-10.956857544790687</v>
      </c>
      <c r="G67" s="3" t="s">
        <v>73</v>
      </c>
      <c r="H67" s="3" t="s">
        <v>89</v>
      </c>
      <c r="I67" s="3" t="str">
        <f t="shared" si="0"/>
        <v>polystyrene in benzene</v>
      </c>
    </row>
    <row r="68" spans="1:9" ht="15" x14ac:dyDescent="0.3">
      <c r="A68" s="3" t="s">
        <v>107</v>
      </c>
      <c r="B68" s="3" t="s">
        <v>92</v>
      </c>
      <c r="C68" s="4">
        <v>-7.97</v>
      </c>
      <c r="D68" s="4">
        <v>0.46</v>
      </c>
      <c r="E68" s="4">
        <f>IF(AND(OR(LEFT($L$2, 3)="All", $L$2="", $L$2=A68, AND(LEFT($L$2, LEN(A68))=A68, MID($L$2, LEN(A68)+1, 2)=" (")), OR(LEFT($L$3, 3)="All", $L$3="", $L$3=B68, AND(LEFT($L$3, LEN(B68))=B68, MID($L$3, LEN(B68)+1, 2)=" ("))), C68-D68*3, NA())</f>
        <v>-9.35</v>
      </c>
      <c r="F68" s="4">
        <f>IF(AND(OR(LEFT($L$2, 3)="All", $L$2="", $L$2=A68, AND(LEFT($L$2, LEN(A68))=A68, MID($L$2, LEN(A68)+1, 2)=" (")), OR(LEFT($L$3, 3)="All", $L$3="", $L$3=B68, AND(LEFT($L$3, LEN(B68))=B68, MID($L$3, LEN(B68)+1, 2)=" ("))), C68-D68*6, NA())</f>
        <v>-10.73</v>
      </c>
      <c r="G68" s="3" t="s">
        <v>68</v>
      </c>
      <c r="H68" s="3" t="s">
        <v>111</v>
      </c>
      <c r="I68" s="3" t="str">
        <f t="shared" si="0"/>
        <v>polystyrene in chloroform-d</v>
      </c>
    </row>
    <row r="69" spans="1:9" ht="15" x14ac:dyDescent="0.3">
      <c r="A69" s="3" t="s">
        <v>107</v>
      </c>
      <c r="B69" s="3" t="s">
        <v>92</v>
      </c>
      <c r="C69" s="4">
        <v>-7.6302221506898293</v>
      </c>
      <c r="D69" s="4">
        <v>0.53467699999999996</v>
      </c>
      <c r="E69" s="4">
        <f>IF(AND(OR(LEFT($L$2, 3)="All", $L$2="", $L$2=A69, AND(LEFT($L$2, LEN(A69))=A69, MID($L$2, LEN(A69)+1, 2)=" (")), OR(LEFT($L$3, 3)="All", $L$3="", $L$3=B69, AND(LEFT($L$3, LEN(B69))=B69, MID($L$3, LEN(B69)+1, 2)=" ("))), C69-D69*3, NA())</f>
        <v>-9.2342531506898293</v>
      </c>
      <c r="F69" s="4">
        <f>IF(AND(OR(LEFT($L$2, 3)="All", $L$2="", $L$2=A69, AND(LEFT($L$2, LEN(A69))=A69, MID($L$2, LEN(A69)+1, 2)=" (")), OR(LEFT($L$3, 3)="All", $L$3="", $L$3=B69, AND(LEFT($L$3, LEN(B69))=B69, MID($L$3, LEN(B69)+1, 2)=" ("))), C69-D69*6, NA())</f>
        <v>-10.83828415068983</v>
      </c>
      <c r="G69" s="3" t="s">
        <v>72</v>
      </c>
      <c r="H69" s="3" t="s">
        <v>84</v>
      </c>
      <c r="I69" s="3" t="str">
        <f t="shared" si="0"/>
        <v>polystyrene in chloroform-d</v>
      </c>
    </row>
    <row r="70" spans="1:9" ht="15" x14ac:dyDescent="0.3">
      <c r="A70" s="3" t="s">
        <v>107</v>
      </c>
      <c r="B70" s="3" t="s">
        <v>92</v>
      </c>
      <c r="C70" s="4">
        <v>-7.5233712248176428</v>
      </c>
      <c r="D70" s="4">
        <v>0.56238999999999995</v>
      </c>
      <c r="E70" s="4">
        <f>IF(AND(OR(LEFT($L$2, 3)="All", $L$2="", $L$2=A70, AND(LEFT($L$2, LEN(A70))=A70, MID($L$2, LEN(A70)+1, 2)=" (")), OR(LEFT($L$3, 3)="All", $L$3="", $L$3=B70, AND(LEFT($L$3, LEN(B70))=B70, MID($L$3, LEN(B70)+1, 2)=" ("))), C70-D70*3, NA())</f>
        <v>-9.2105412248176428</v>
      </c>
      <c r="F70" s="4">
        <f>IF(AND(OR(LEFT($L$2, 3)="All", $L$2="", $L$2=A70, AND(LEFT($L$2, LEN(A70))=A70, MID($L$2, LEN(A70)+1, 2)=" (")), OR(LEFT($L$3, 3)="All", $L$3="", $L$3=B70, AND(LEFT($L$3, LEN(B70))=B70, MID($L$3, LEN(B70)+1, 2)=" ("))), C70-D70*6, NA())</f>
        <v>-10.897711224817643</v>
      </c>
      <c r="G70" s="3" t="s">
        <v>73</v>
      </c>
      <c r="H70" s="3" t="s">
        <v>89</v>
      </c>
      <c r="I70" s="3" t="str">
        <f t="shared" si="0"/>
        <v>polystyrene in chloroform-d</v>
      </c>
    </row>
    <row r="71" spans="1:9" ht="15" x14ac:dyDescent="0.3">
      <c r="A71" s="3" t="s">
        <v>107</v>
      </c>
      <c r="B71" s="3" t="s">
        <v>94</v>
      </c>
      <c r="C71" s="4">
        <v>-7.5616665425054803</v>
      </c>
      <c r="D71" s="4">
        <v>0.52145300000000006</v>
      </c>
      <c r="E71" s="4">
        <f>IF(AND(OR(LEFT($L$2, 3)="All", $L$2="", $L$2=A71, AND(LEFT($L$2, LEN(A71))=A71, MID($L$2, LEN(A71)+1, 2)=" (")), OR(LEFT($L$3, 3)="All", $L$3="", $L$3=B71, AND(LEFT($L$3, LEN(B71))=B71, MID($L$3, LEN(B71)+1, 2)=" ("))), C71-D71*3, NA())</f>
        <v>-9.1260255425054808</v>
      </c>
      <c r="F71" s="4">
        <f>IF(AND(OR(LEFT($L$2, 3)="All", $L$2="", $L$2=A71, AND(LEFT($L$2, LEN(A71))=A71, MID($L$2, LEN(A71)+1, 2)=" (")), OR(LEFT($L$3, 3)="All", $L$3="", $L$3=B71, AND(LEFT($L$3, LEN(B71))=B71, MID($L$3, LEN(B71)+1, 2)=" ("))), C71-D71*6, NA())</f>
        <v>-10.69038454250548</v>
      </c>
      <c r="G71" s="3" t="s">
        <v>72</v>
      </c>
      <c r="H71" s="3" t="s">
        <v>84</v>
      </c>
      <c r="I71" s="3" t="str">
        <f t="shared" si="0"/>
        <v>polystyrene in dichloromethane</v>
      </c>
    </row>
    <row r="72" spans="1:9" ht="15" x14ac:dyDescent="0.3">
      <c r="A72" s="3" t="s">
        <v>107</v>
      </c>
      <c r="B72" s="3" t="s">
        <v>94</v>
      </c>
      <c r="C72" s="4">
        <v>-7.4067139329795424</v>
      </c>
      <c r="D72" s="4">
        <v>0.56162000000000001</v>
      </c>
      <c r="E72" s="4">
        <f>IF(AND(OR(LEFT($L$2, 3)="All", $L$2="", $L$2=A72, AND(LEFT($L$2, LEN(A72))=A72, MID($L$2, LEN(A72)+1, 2)=" (")), OR(LEFT($L$3, 3)="All", $L$3="", $L$3=B72, AND(LEFT($L$3, LEN(B72))=B72, MID($L$3, LEN(B72)+1, 2)=" ("))), C72-D72*3, NA())</f>
        <v>-9.0915739329795429</v>
      </c>
      <c r="F72" s="4">
        <f>IF(AND(OR(LEFT($L$2, 3)="All", $L$2="", $L$2=A72, AND(LEFT($L$2, LEN(A72))=A72, MID($L$2, LEN(A72)+1, 2)=" (")), OR(LEFT($L$3, 3)="All", $L$3="", $L$3=B72, AND(LEFT($L$3, LEN(B72))=B72, MID($L$3, LEN(B72)+1, 2)=" ("))), C72-D72*6, NA())</f>
        <v>-10.776433932979543</v>
      </c>
      <c r="G72" s="3" t="s">
        <v>73</v>
      </c>
      <c r="H72" s="3" t="s">
        <v>89</v>
      </c>
      <c r="I72" s="3" t="str">
        <f t="shared" si="0"/>
        <v>polystyrene in dichloromethane</v>
      </c>
    </row>
    <row r="73" spans="1:9" ht="15" x14ac:dyDescent="0.3">
      <c r="A73" s="3" t="s">
        <v>107</v>
      </c>
      <c r="B73" s="3" t="s">
        <v>96</v>
      </c>
      <c r="C73" s="4">
        <v>-8.07</v>
      </c>
      <c r="D73" s="4">
        <v>0.42</v>
      </c>
      <c r="E73" s="4">
        <f>IF(AND(OR(LEFT($L$2, 3)="All", $L$2="", $L$2=A73, AND(LEFT($L$2, LEN(A73))=A73, MID($L$2, LEN(A73)+1, 2)=" (")), OR(LEFT($L$3, 3)="All", $L$3="", $L$3=B73, AND(LEFT($L$3, LEN(B73))=B73, MID($L$3, LEN(B73)+1, 2)=" ("))), C73-D73*3, NA())</f>
        <v>-9.33</v>
      </c>
      <c r="F73" s="4">
        <f>IF(AND(OR(LEFT($L$2, 3)="All", $L$2="", $L$2=A73, AND(LEFT($L$2, LEN(A73))=A73, MID($L$2, LEN(A73)+1, 2)=" (")), OR(LEFT($L$3, 3)="All", $L$3="", $L$3=B73, AND(LEFT($L$3, LEN(B73))=B73, MID($L$3, LEN(B73)+1, 2)=" ("))), C73-D73*6, NA())</f>
        <v>-10.59</v>
      </c>
      <c r="G73" s="3" t="s">
        <v>68</v>
      </c>
      <c r="H73" s="3" t="s">
        <v>111</v>
      </c>
      <c r="I73" s="3" t="str">
        <f t="shared" si="0"/>
        <v>polystyrene in tetrahydrofuran</v>
      </c>
    </row>
    <row r="74" spans="1:9" ht="15" x14ac:dyDescent="0.3">
      <c r="A74" s="3" t="s">
        <v>107</v>
      </c>
      <c r="B74" s="3" t="s">
        <v>96</v>
      </c>
      <c r="C74" s="4">
        <v>-7.6558396739845511</v>
      </c>
      <c r="D74" s="4">
        <v>0.51936099999999996</v>
      </c>
      <c r="E74" s="4">
        <f>IF(AND(OR(LEFT($L$2, 3)="All", $L$2="", $L$2=A74, AND(LEFT($L$2, LEN(A74))=A74, MID($L$2, LEN(A74)+1, 2)=" (")), OR(LEFT($L$3, 3)="All", $L$3="", $L$3=B74, AND(LEFT($L$3, LEN(B74))=B74, MID($L$3, LEN(B74)+1, 2)=" ("))), C74-D74*3, NA())</f>
        <v>-9.2139226739845519</v>
      </c>
      <c r="F74" s="4">
        <f>IF(AND(OR(LEFT($L$2, 3)="All", $L$2="", $L$2=A74, AND(LEFT($L$2, LEN(A74))=A74, MID($L$2, LEN(A74)+1, 2)=" (")), OR(LEFT($L$3, 3)="All", $L$3="", $L$3=B74, AND(LEFT($L$3, LEN(B74))=B74, MID($L$3, LEN(B74)+1, 2)=" ("))), C74-D74*6, NA())</f>
        <v>-10.772005673984552</v>
      </c>
      <c r="G74" s="3" t="s">
        <v>72</v>
      </c>
      <c r="H74" s="3" t="s">
        <v>84</v>
      </c>
      <c r="I74" s="3" t="str">
        <f t="shared" si="0"/>
        <v>polystyrene in tetrahydrofuran</v>
      </c>
    </row>
    <row r="75" spans="1:9" ht="15" x14ac:dyDescent="0.3">
      <c r="A75" s="3" t="s">
        <v>107</v>
      </c>
      <c r="B75" s="3" t="s">
        <v>96</v>
      </c>
      <c r="C75" s="4">
        <v>-7.4976275116883109</v>
      </c>
      <c r="D75" s="4">
        <v>0.56040000000000001</v>
      </c>
      <c r="E75" s="4">
        <f>IF(AND(OR(LEFT($L$2, 3)="All", $L$2="", $L$2=A75, AND(LEFT($L$2, LEN(A75))=A75, MID($L$2, LEN(A75)+1, 2)=" (")), OR(LEFT($L$3, 3)="All", $L$3="", $L$3=B75, AND(LEFT($L$3, LEN(B75))=B75, MID($L$3, LEN(B75)+1, 2)=" ("))), C75-D75*3, NA())</f>
        <v>-9.1788275116883113</v>
      </c>
      <c r="F75" s="4">
        <f>IF(AND(OR(LEFT($L$2, 3)="All", $L$2="", $L$2=A75, AND(LEFT($L$2, LEN(A75))=A75, MID($L$2, LEN(A75)+1, 2)=" (")), OR(LEFT($L$3, 3)="All", $L$3="", $L$3=B75, AND(LEFT($L$3, LEN(B75))=B75, MID($L$3, LEN(B75)+1, 2)=" ("))), C75-D75*6, NA())</f>
        <v>-10.860027511688312</v>
      </c>
      <c r="G75" s="3" t="s">
        <v>73</v>
      </c>
      <c r="H75" s="3" t="s">
        <v>89</v>
      </c>
      <c r="I75" s="3" t="str">
        <f t="shared" si="0"/>
        <v>polystyrene in tetrahydrofuran</v>
      </c>
    </row>
    <row r="76" spans="1:9" ht="15" x14ac:dyDescent="0.3">
      <c r="A76" s="3" t="s">
        <v>107</v>
      </c>
      <c r="B76" s="3" t="s">
        <v>110</v>
      </c>
      <c r="C76" s="4">
        <v>-7.82</v>
      </c>
      <c r="D76" s="4">
        <v>0.51</v>
      </c>
      <c r="E76" s="4">
        <f>IF(AND(OR(LEFT($L$2, 3)="All", $L$2="", $L$2=A76, AND(LEFT($L$2, LEN(A76))=A76, MID($L$2, LEN(A76)+1, 2)=" (")), OR(LEFT($L$3, 3)="All", $L$3="", $L$3=B76, AND(LEFT($L$3, LEN(B76))=B76, MID($L$3, LEN(B76)+1, 2)=" ("))), C76-D76*3, NA())</f>
        <v>-9.35</v>
      </c>
      <c r="F76" s="4">
        <f>IF(AND(OR(LEFT($L$2, 3)="All", $L$2="", $L$2=A76, AND(LEFT($L$2, LEN(A76))=A76, MID($L$2, LEN(A76)+1, 2)=" (")), OR(LEFT($L$3, 3)="All", $L$3="", $L$3=B76, AND(LEFT($L$3, LEN(B76))=B76, MID($L$3, LEN(B76)+1, 2)=" ("))), C76-D76*6, NA())</f>
        <v>-10.88</v>
      </c>
      <c r="G76" s="3" t="s">
        <v>68</v>
      </c>
      <c r="H76" s="3" t="s">
        <v>111</v>
      </c>
      <c r="I76" s="3" t="str">
        <f t="shared" si="0"/>
        <v>polystyrene in toluene</v>
      </c>
    </row>
    <row r="77" spans="1:9" ht="15" x14ac:dyDescent="0.3">
      <c r="A77" s="3" t="s">
        <v>107</v>
      </c>
      <c r="B77" s="3" t="s">
        <v>110</v>
      </c>
      <c r="C77" s="4">
        <v>-7.6700776226075584</v>
      </c>
      <c r="D77" s="4">
        <v>0.53106500000000001</v>
      </c>
      <c r="E77" s="4">
        <f>IF(AND(OR(LEFT($L$2, 3)="All", $L$2="", $L$2=A77, AND(LEFT($L$2, LEN(A77))=A77, MID($L$2, LEN(A77)+1, 2)=" (")), OR(LEFT($L$3, 3)="All", $L$3="", $L$3=B77, AND(LEFT($L$3, LEN(B77))=B77, MID($L$3, LEN(B77)+1, 2)=" ("))), C77-D77*3, NA())</f>
        <v>-9.263272622607559</v>
      </c>
      <c r="F77" s="4">
        <f>IF(AND(OR(LEFT($L$2, 3)="All", $L$2="", $L$2=A77, AND(LEFT($L$2, LEN(A77))=A77, MID($L$2, LEN(A77)+1, 2)=" (")), OR(LEFT($L$3, 3)="All", $L$3="", $L$3=B77, AND(LEFT($L$3, LEN(B77))=B77, MID($L$3, LEN(B77)+1, 2)=" ("))), C77-D77*6, NA())</f>
        <v>-10.856467622607559</v>
      </c>
      <c r="G77" s="3" t="s">
        <v>72</v>
      </c>
      <c r="H77" s="3" t="s">
        <v>84</v>
      </c>
      <c r="I77" s="3" t="str">
        <f t="shared" si="0"/>
        <v>polystyrene in toluene</v>
      </c>
    </row>
    <row r="78" spans="1:9" ht="15" x14ac:dyDescent="0.3">
      <c r="A78" s="3" t="s">
        <v>107</v>
      </c>
      <c r="B78" s="3" t="s">
        <v>110</v>
      </c>
      <c r="C78" s="4">
        <v>-7.6700735592045479</v>
      </c>
      <c r="D78" s="4">
        <v>0.53105999999999998</v>
      </c>
      <c r="E78" s="4">
        <f>IF(AND(OR(LEFT($L$2, 3)="All", $L$2="", $L$2=A78, AND(LEFT($L$2, LEN(A78))=A78, MID($L$2, LEN(A78)+1, 2)=" (")), OR(LEFT($L$3, 3)="All", $L$3="", $L$3=B78, AND(LEFT($L$3, LEN(B78))=B78, MID($L$3, LEN(B78)+1, 2)=" ("))), C78-D78*3, NA())</f>
        <v>-9.2632535592045482</v>
      </c>
      <c r="F78" s="4">
        <f>IF(AND(OR(LEFT($L$2, 3)="All", $L$2="", $L$2=A78, AND(LEFT($L$2, LEN(A78))=A78, MID($L$2, LEN(A78)+1, 2)=" (")), OR(LEFT($L$3, 3)="All", $L$3="", $L$3=B78, AND(LEFT($L$3, LEN(B78))=B78, MID($L$3, LEN(B78)+1, 2)=" ("))), C78-D78*6, NA())</f>
        <v>-10.856433559204547</v>
      </c>
      <c r="G78" s="3" t="s">
        <v>73</v>
      </c>
      <c r="H78" s="3" t="s">
        <v>89</v>
      </c>
      <c r="I78" s="3" t="str">
        <f t="shared" si="0"/>
        <v>polystyrene in toluene</v>
      </c>
    </row>
    <row r="79" spans="1:9" ht="15" x14ac:dyDescent="0.3">
      <c r="A79" s="3" t="s">
        <v>108</v>
      </c>
      <c r="B79" s="3" t="s">
        <v>82</v>
      </c>
      <c r="C79" s="4">
        <v>-8.1999999999999993</v>
      </c>
      <c r="D79" s="4">
        <v>0.49</v>
      </c>
      <c r="E79" s="4">
        <f>IF(AND(OR(LEFT($L$2, 3)="All", $L$2="", $L$2=A79, AND(LEFT($L$2, LEN(A79))=A79, MID($L$2, LEN(A79)+1, 2)=" (")), OR(LEFT($L$3, 3)="All", $L$3="", $L$3=B79, AND(LEFT($L$3, LEN(B79))=B79, MID($L$3, LEN(B79)+1, 2)=" ("))), C79-D79*3, NA())</f>
        <v>-9.67</v>
      </c>
      <c r="F79" s="4">
        <f>IF(AND(OR(LEFT($L$2, 3)="All", $L$2="", $L$2=A79, AND(LEFT($L$2, LEN(A79))=A79, MID($L$2, LEN(A79)+1, 2)=" (")), OR(LEFT($L$3, 3)="All", $L$3="", $L$3=B79, AND(LEFT($L$3, LEN(B79))=B79, MID($L$3, LEN(B79)+1, 2)=" ("))), C79-D79*6, NA())</f>
        <v>-11.139999999999999</v>
      </c>
      <c r="G79" s="3" t="s">
        <v>68</v>
      </c>
      <c r="H79" s="3" t="s">
        <v>84</v>
      </c>
      <c r="I79" s="3" t="str">
        <f t="shared" si="0"/>
        <v>pullulan in deuterium oxide</v>
      </c>
    </row>
  </sheetData>
  <autoFilter ref="A1:H79" xr:uid="{00000000-0009-0000-0000-000002000000}"/>
  <mergeCells count="1">
    <mergeCell ref="K1:L1"/>
  </mergeCells>
  <dataValidations count="2">
    <dataValidation type="list" allowBlank="1" sqref="L2" xr:uid="{00000000-0002-0000-0200-000000000000}">
      <formula1>$R$2:$R$12</formula1>
    </dataValidation>
    <dataValidation type="list" allowBlank="1" sqref="L3" xr:uid="{00000000-0002-0000-0200-000001000000}">
      <formula1>$Q$2:$Q$14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7"/>
  <sheetViews>
    <sheetView workbookViewId="0">
      <pane ySplit="1" topLeftCell="A2" activePane="bottomLeft" state="frozen"/>
      <selection pane="bottomLeft" activeCell="E17" sqref="E17:F17"/>
    </sheetView>
  </sheetViews>
  <sheetFormatPr defaultRowHeight="14.4" x14ac:dyDescent="0.3"/>
  <cols>
    <col min="1" max="1" width="149" customWidth="1"/>
    <col min="2" max="2" width="12" customWidth="1"/>
    <col min="3" max="3" width="42" customWidth="1"/>
    <col min="4" max="4" width="50" customWidth="1"/>
    <col min="5" max="5" width="24" customWidth="1"/>
    <col min="6" max="6" width="28" customWidth="1"/>
    <col min="7" max="7" width="18" customWidth="1"/>
    <col min="8" max="8" width="25" customWidth="1"/>
    <col min="9" max="9" width="39" customWidth="1"/>
    <col min="10" max="10" width="29" customWidth="1"/>
    <col min="11" max="11" width="20" customWidth="1"/>
    <col min="12" max="12" width="87" customWidth="1"/>
    <col min="13" max="14" width="15" customWidth="1"/>
  </cols>
  <sheetData>
    <row r="1" spans="1:14" ht="15" x14ac:dyDescent="0.3">
      <c r="A1" s="2" t="s">
        <v>54</v>
      </c>
      <c r="B1" s="2" t="s">
        <v>79</v>
      </c>
      <c r="C1" s="2" t="s">
        <v>113</v>
      </c>
      <c r="D1" s="2" t="s">
        <v>74</v>
      </c>
      <c r="E1" s="2" t="s">
        <v>114</v>
      </c>
      <c r="F1" s="2" t="s">
        <v>75</v>
      </c>
      <c r="G1" s="2" t="s">
        <v>76</v>
      </c>
      <c r="H1" s="2" t="s">
        <v>77</v>
      </c>
      <c r="I1" s="2" t="s">
        <v>115</v>
      </c>
      <c r="J1" s="2" t="s">
        <v>78</v>
      </c>
      <c r="K1" s="2" t="s">
        <v>116</v>
      </c>
      <c r="L1" s="2" t="s">
        <v>117</v>
      </c>
      <c r="M1" s="2">
        <v>3</v>
      </c>
      <c r="N1" s="2">
        <v>6</v>
      </c>
    </row>
    <row r="2" spans="1:14" ht="15" x14ac:dyDescent="0.3">
      <c r="A2" s="3" t="s">
        <v>58</v>
      </c>
      <c r="B2" s="3" t="s">
        <v>84</v>
      </c>
      <c r="C2" s="3" t="s">
        <v>118</v>
      </c>
      <c r="D2" s="3" t="s">
        <v>118</v>
      </c>
      <c r="E2" s="3" t="s">
        <v>119</v>
      </c>
      <c r="F2" s="3" t="s">
        <v>120</v>
      </c>
      <c r="G2" s="4" t="s">
        <v>83</v>
      </c>
      <c r="H2" s="4">
        <v>0.64933485871214192</v>
      </c>
      <c r="I2" s="3" t="s">
        <v>121</v>
      </c>
      <c r="J2" s="4">
        <v>0.60699999999999998</v>
      </c>
      <c r="K2" s="3" t="s">
        <v>122</v>
      </c>
      <c r="L2" s="7" t="s">
        <v>123</v>
      </c>
      <c r="M2" s="4">
        <f t="shared" ref="M2:M7" si="0">H2-J2*3</f>
        <v>-1.171665141287858</v>
      </c>
      <c r="N2" s="4">
        <f t="shared" ref="N2:N7" si="1">H2-J2*6</f>
        <v>-2.992665141287858</v>
      </c>
    </row>
    <row r="3" spans="1:14" ht="15" x14ac:dyDescent="0.3">
      <c r="A3" s="3" t="s">
        <v>58</v>
      </c>
      <c r="B3" s="3" t="s">
        <v>84</v>
      </c>
      <c r="C3" s="3" t="s">
        <v>118</v>
      </c>
      <c r="D3" s="3" t="s">
        <v>118</v>
      </c>
      <c r="E3" s="3" t="s">
        <v>119</v>
      </c>
      <c r="F3" s="3" t="s">
        <v>120</v>
      </c>
      <c r="G3" s="4" t="s">
        <v>83</v>
      </c>
      <c r="H3" s="4">
        <v>0.49692964807321488</v>
      </c>
      <c r="I3" s="3" t="s">
        <v>121</v>
      </c>
      <c r="J3" s="4">
        <v>0.629</v>
      </c>
      <c r="K3" s="3" t="s">
        <v>122</v>
      </c>
      <c r="L3" s="7" t="s">
        <v>123</v>
      </c>
      <c r="M3" s="4">
        <f t="shared" si="0"/>
        <v>-1.3900703519267852</v>
      </c>
      <c r="N3" s="4">
        <f t="shared" si="1"/>
        <v>-3.2770703519267852</v>
      </c>
    </row>
    <row r="4" spans="1:14" ht="15" x14ac:dyDescent="0.3">
      <c r="A4" s="3" t="s">
        <v>58</v>
      </c>
      <c r="B4" s="3" t="s">
        <v>84</v>
      </c>
      <c r="C4" s="3" t="s">
        <v>118</v>
      </c>
      <c r="D4" s="3" t="s">
        <v>118</v>
      </c>
      <c r="E4" s="3" t="s">
        <v>119</v>
      </c>
      <c r="F4" s="3" t="s">
        <v>120</v>
      </c>
      <c r="G4" s="4" t="s">
        <v>83</v>
      </c>
      <c r="H4" s="4">
        <v>0.22010808804005499</v>
      </c>
      <c r="I4" s="3" t="s">
        <v>121</v>
      </c>
      <c r="J4" s="4">
        <v>0.5</v>
      </c>
      <c r="K4" s="3" t="s">
        <v>122</v>
      </c>
      <c r="L4" s="7" t="s">
        <v>123</v>
      </c>
      <c r="M4" s="4">
        <f t="shared" si="0"/>
        <v>-1.279891911959945</v>
      </c>
      <c r="N4" s="4">
        <f t="shared" si="1"/>
        <v>-2.779891911959945</v>
      </c>
    </row>
    <row r="5" spans="1:14" ht="15" x14ac:dyDescent="0.3">
      <c r="A5" s="3" t="s">
        <v>58</v>
      </c>
      <c r="B5" s="3" t="s">
        <v>84</v>
      </c>
      <c r="C5" s="3" t="s">
        <v>118</v>
      </c>
      <c r="D5" s="3" t="s">
        <v>118</v>
      </c>
      <c r="E5" s="3" t="s">
        <v>119</v>
      </c>
      <c r="F5" s="3" t="s">
        <v>120</v>
      </c>
      <c r="G5" s="4" t="s">
        <v>83</v>
      </c>
      <c r="H5" s="4">
        <v>0.64933485871214192</v>
      </c>
      <c r="I5" s="3" t="s">
        <v>121</v>
      </c>
      <c r="J5" s="4">
        <v>0.60699999999999998</v>
      </c>
      <c r="K5" s="3" t="s">
        <v>122</v>
      </c>
      <c r="L5" s="7" t="s">
        <v>123</v>
      </c>
      <c r="M5" s="4">
        <f t="shared" si="0"/>
        <v>-1.171665141287858</v>
      </c>
      <c r="N5" s="4">
        <f t="shared" si="1"/>
        <v>-2.992665141287858</v>
      </c>
    </row>
    <row r="6" spans="1:14" ht="15" x14ac:dyDescent="0.3">
      <c r="A6" s="3" t="s">
        <v>59</v>
      </c>
      <c r="B6" s="3" t="s">
        <v>111</v>
      </c>
      <c r="C6" s="3" t="s">
        <v>124</v>
      </c>
      <c r="D6" s="3" t="s">
        <v>99</v>
      </c>
      <c r="E6" s="3" t="s">
        <v>125</v>
      </c>
      <c r="F6" s="3" t="s">
        <v>82</v>
      </c>
      <c r="G6" s="4" t="s">
        <v>83</v>
      </c>
      <c r="H6" s="4">
        <v>-7.62</v>
      </c>
      <c r="I6" s="3" t="s">
        <v>121</v>
      </c>
      <c r="J6" s="4">
        <v>0.62</v>
      </c>
      <c r="K6" s="3" t="s">
        <v>126</v>
      </c>
      <c r="L6" s="3" t="s">
        <v>127</v>
      </c>
      <c r="M6" s="4">
        <f t="shared" si="0"/>
        <v>-9.48</v>
      </c>
      <c r="N6" s="4">
        <f t="shared" si="1"/>
        <v>-11.34</v>
      </c>
    </row>
    <row r="7" spans="1:14" ht="15" x14ac:dyDescent="0.3">
      <c r="A7" s="3" t="s">
        <v>60</v>
      </c>
      <c r="B7" s="3" t="s">
        <v>128</v>
      </c>
      <c r="C7" s="3" t="s">
        <v>129</v>
      </c>
      <c r="D7" s="3" t="s">
        <v>99</v>
      </c>
      <c r="E7" s="3" t="s">
        <v>83</v>
      </c>
      <c r="F7" s="3" t="s">
        <v>83</v>
      </c>
      <c r="G7" s="4" t="s">
        <v>83</v>
      </c>
      <c r="H7" s="4">
        <v>-7.9586073148417746</v>
      </c>
      <c r="I7" s="3" t="s">
        <v>121</v>
      </c>
      <c r="J7" s="4">
        <v>0.6</v>
      </c>
      <c r="K7" s="3" t="s">
        <v>122</v>
      </c>
      <c r="L7" s="8" t="s">
        <v>48</v>
      </c>
      <c r="M7" s="4">
        <f t="shared" si="0"/>
        <v>-9.7586073148417753</v>
      </c>
      <c r="N7" s="4">
        <f t="shared" si="1"/>
        <v>-11.558607314841774</v>
      </c>
    </row>
    <row r="8" spans="1:14" ht="15" x14ac:dyDescent="0.3">
      <c r="A8" s="3" t="s">
        <v>61</v>
      </c>
      <c r="B8" s="3" t="s">
        <v>84</v>
      </c>
      <c r="C8" s="3" t="s">
        <v>130</v>
      </c>
      <c r="D8" s="3" t="s">
        <v>120</v>
      </c>
      <c r="E8" s="3" t="s">
        <v>83</v>
      </c>
      <c r="F8" s="3" t="s">
        <v>83</v>
      </c>
      <c r="G8" s="4" t="s">
        <v>83</v>
      </c>
      <c r="H8" s="4" t="s">
        <v>83</v>
      </c>
      <c r="I8" s="3" t="s">
        <v>122</v>
      </c>
      <c r="J8" s="4">
        <v>0.5</v>
      </c>
      <c r="K8" s="3" t="s">
        <v>122</v>
      </c>
      <c r="L8" s="7" t="s">
        <v>131</v>
      </c>
      <c r="M8" s="9"/>
      <c r="N8" s="9"/>
    </row>
    <row r="9" spans="1:14" ht="15" x14ac:dyDescent="0.3">
      <c r="A9" s="3" t="s">
        <v>61</v>
      </c>
      <c r="B9" s="3" t="s">
        <v>84</v>
      </c>
      <c r="C9" s="3" t="s">
        <v>132</v>
      </c>
      <c r="D9" s="3" t="s">
        <v>120</v>
      </c>
      <c r="E9" s="3" t="s">
        <v>83</v>
      </c>
      <c r="F9" s="3" t="s">
        <v>83</v>
      </c>
      <c r="G9" s="4" t="s">
        <v>83</v>
      </c>
      <c r="H9" s="4" t="s">
        <v>83</v>
      </c>
      <c r="I9" s="3" t="s">
        <v>122</v>
      </c>
      <c r="J9" s="4">
        <v>0.58799999999999997</v>
      </c>
      <c r="K9" s="3" t="s">
        <v>122</v>
      </c>
      <c r="L9" s="7" t="s">
        <v>131</v>
      </c>
      <c r="M9" s="9"/>
      <c r="N9" s="9"/>
    </row>
    <row r="10" spans="1:14" ht="15" x14ac:dyDescent="0.3">
      <c r="A10" s="3" t="s">
        <v>61</v>
      </c>
      <c r="B10" s="3" t="s">
        <v>111</v>
      </c>
      <c r="C10" s="3" t="s">
        <v>133</v>
      </c>
      <c r="D10" s="3" t="s">
        <v>133</v>
      </c>
      <c r="E10" s="3" t="s">
        <v>83</v>
      </c>
      <c r="F10" s="3" t="s">
        <v>83</v>
      </c>
      <c r="G10" s="4" t="s">
        <v>83</v>
      </c>
      <c r="H10" s="4" t="s">
        <v>83</v>
      </c>
      <c r="I10" s="3" t="s">
        <v>122</v>
      </c>
      <c r="J10" s="4">
        <v>0.39</v>
      </c>
      <c r="K10" s="3" t="s">
        <v>122</v>
      </c>
      <c r="L10" s="7" t="s">
        <v>134</v>
      </c>
      <c r="M10" s="9"/>
      <c r="N10" s="9"/>
    </row>
    <row r="11" spans="1:14" ht="15" x14ac:dyDescent="0.3">
      <c r="A11" s="3" t="s">
        <v>61</v>
      </c>
      <c r="B11" s="3" t="s">
        <v>111</v>
      </c>
      <c r="C11" s="3" t="s">
        <v>133</v>
      </c>
      <c r="D11" s="3" t="s">
        <v>133</v>
      </c>
      <c r="E11" s="3" t="s">
        <v>83</v>
      </c>
      <c r="F11" s="3" t="s">
        <v>83</v>
      </c>
      <c r="G11" s="4" t="s">
        <v>83</v>
      </c>
      <c r="H11" s="4" t="s">
        <v>83</v>
      </c>
      <c r="I11" s="3" t="s">
        <v>122</v>
      </c>
      <c r="J11" s="4">
        <v>0.39</v>
      </c>
      <c r="K11" s="3" t="s">
        <v>122</v>
      </c>
      <c r="L11" s="7" t="s">
        <v>134</v>
      </c>
      <c r="M11" s="9"/>
      <c r="N11" s="9"/>
    </row>
    <row r="12" spans="1:14" ht="15" x14ac:dyDescent="0.3">
      <c r="A12" s="3" t="s">
        <v>61</v>
      </c>
      <c r="B12" s="3" t="s">
        <v>111</v>
      </c>
      <c r="C12" s="3" t="s">
        <v>135</v>
      </c>
      <c r="D12" s="3" t="s">
        <v>107</v>
      </c>
      <c r="E12" s="3" t="s">
        <v>110</v>
      </c>
      <c r="F12" s="3" t="s">
        <v>110</v>
      </c>
      <c r="G12" s="4" t="s">
        <v>83</v>
      </c>
      <c r="H12" s="4" t="s">
        <v>83</v>
      </c>
      <c r="I12" s="3" t="s">
        <v>122</v>
      </c>
      <c r="J12" s="4">
        <v>0.41</v>
      </c>
      <c r="K12" s="3" t="s">
        <v>122</v>
      </c>
      <c r="L12" s="7" t="s">
        <v>50</v>
      </c>
      <c r="M12" s="9"/>
      <c r="N12" s="9"/>
    </row>
    <row r="13" spans="1:14" ht="15" x14ac:dyDescent="0.3">
      <c r="A13" s="3" t="s">
        <v>61</v>
      </c>
      <c r="B13" s="3" t="s">
        <v>111</v>
      </c>
      <c r="C13" s="3" t="s">
        <v>136</v>
      </c>
      <c r="D13" s="3" t="s">
        <v>100</v>
      </c>
      <c r="E13" s="3" t="s">
        <v>91</v>
      </c>
      <c r="F13" s="3" t="s">
        <v>91</v>
      </c>
      <c r="G13" s="4" t="s">
        <v>83</v>
      </c>
      <c r="H13" s="4" t="s">
        <v>83</v>
      </c>
      <c r="I13" s="3" t="s">
        <v>122</v>
      </c>
      <c r="J13" s="4">
        <v>0.46</v>
      </c>
      <c r="K13" s="3" t="s">
        <v>122</v>
      </c>
      <c r="L13" s="7" t="s">
        <v>50</v>
      </c>
      <c r="M13" s="9"/>
      <c r="N13" s="9"/>
    </row>
    <row r="14" spans="1:14" ht="15" x14ac:dyDescent="0.3">
      <c r="A14" s="3" t="s">
        <v>61</v>
      </c>
      <c r="B14" s="3" t="s">
        <v>111</v>
      </c>
      <c r="C14" s="3" t="s">
        <v>137</v>
      </c>
      <c r="D14" s="3" t="s">
        <v>107</v>
      </c>
      <c r="E14" s="3" t="s">
        <v>91</v>
      </c>
      <c r="F14" s="3" t="s">
        <v>91</v>
      </c>
      <c r="G14" s="4" t="s">
        <v>83</v>
      </c>
      <c r="H14" s="4" t="s">
        <v>83</v>
      </c>
      <c r="I14" s="3" t="s">
        <v>122</v>
      </c>
      <c r="J14" s="4">
        <v>0.47</v>
      </c>
      <c r="K14" s="3" t="s">
        <v>122</v>
      </c>
      <c r="L14" s="7" t="s">
        <v>50</v>
      </c>
      <c r="M14" s="9"/>
      <c r="N14" s="9"/>
    </row>
    <row r="15" spans="1:14" ht="15" x14ac:dyDescent="0.3">
      <c r="A15" s="3" t="s">
        <v>61</v>
      </c>
      <c r="B15" s="3" t="s">
        <v>111</v>
      </c>
      <c r="C15" s="3" t="s">
        <v>138</v>
      </c>
      <c r="D15" s="3" t="s">
        <v>107</v>
      </c>
      <c r="E15" s="3" t="s">
        <v>139</v>
      </c>
      <c r="F15" s="3" t="s">
        <v>92</v>
      </c>
      <c r="G15" s="4" t="s">
        <v>83</v>
      </c>
      <c r="H15" s="4" t="s">
        <v>83</v>
      </c>
      <c r="I15" s="3" t="s">
        <v>122</v>
      </c>
      <c r="J15" s="4">
        <v>0.47</v>
      </c>
      <c r="K15" s="3" t="s">
        <v>122</v>
      </c>
      <c r="L15" s="7" t="s">
        <v>50</v>
      </c>
      <c r="M15" s="9"/>
      <c r="N15" s="9"/>
    </row>
    <row r="16" spans="1:14" ht="15" x14ac:dyDescent="0.3">
      <c r="A16" s="3" t="s">
        <v>61</v>
      </c>
      <c r="B16" s="3" t="s">
        <v>111</v>
      </c>
      <c r="C16" s="3" t="s">
        <v>140</v>
      </c>
      <c r="D16" s="3" t="s">
        <v>100</v>
      </c>
      <c r="E16" s="3" t="s">
        <v>139</v>
      </c>
      <c r="F16" s="3" t="s">
        <v>92</v>
      </c>
      <c r="G16" s="4" t="s">
        <v>83</v>
      </c>
      <c r="H16" s="4" t="s">
        <v>83</v>
      </c>
      <c r="I16" s="3" t="s">
        <v>122</v>
      </c>
      <c r="J16" s="4">
        <v>0.48</v>
      </c>
      <c r="K16" s="3" t="s">
        <v>122</v>
      </c>
      <c r="L16" s="7" t="s">
        <v>50</v>
      </c>
      <c r="M16" s="9"/>
      <c r="N16" s="9"/>
    </row>
    <row r="17" spans="1:14" ht="15" x14ac:dyDescent="0.3">
      <c r="A17" s="3" t="s">
        <v>61</v>
      </c>
      <c r="B17" s="3" t="s">
        <v>111</v>
      </c>
      <c r="C17" s="3" t="s">
        <v>141</v>
      </c>
      <c r="D17" s="3" t="s">
        <v>142</v>
      </c>
      <c r="E17" s="3" t="s">
        <v>83</v>
      </c>
      <c r="F17" s="3" t="s">
        <v>83</v>
      </c>
      <c r="G17" s="4" t="s">
        <v>83</v>
      </c>
      <c r="H17" s="4" t="s">
        <v>83</v>
      </c>
      <c r="I17" s="3" t="s">
        <v>122</v>
      </c>
      <c r="J17" s="4">
        <v>0.48</v>
      </c>
      <c r="K17" s="3" t="s">
        <v>122</v>
      </c>
      <c r="L17" s="7" t="s">
        <v>134</v>
      </c>
      <c r="M17" s="9"/>
      <c r="N17" s="9"/>
    </row>
    <row r="18" spans="1:14" ht="15" x14ac:dyDescent="0.3">
      <c r="A18" s="3" t="s">
        <v>61</v>
      </c>
      <c r="B18" s="3" t="s">
        <v>111</v>
      </c>
      <c r="C18" s="3" t="s">
        <v>143</v>
      </c>
      <c r="D18" s="3" t="s">
        <v>107</v>
      </c>
      <c r="E18" s="3" t="s">
        <v>144</v>
      </c>
      <c r="F18" s="3" t="s">
        <v>96</v>
      </c>
      <c r="G18" s="4" t="s">
        <v>83</v>
      </c>
      <c r="H18" s="4">
        <v>0.5</v>
      </c>
      <c r="I18" s="3" t="s">
        <v>122</v>
      </c>
      <c r="J18" s="4">
        <v>0.5</v>
      </c>
      <c r="K18" s="3" t="s">
        <v>122</v>
      </c>
      <c r="L18" s="7" t="s">
        <v>51</v>
      </c>
      <c r="M18" s="4">
        <f>H18-J18*3</f>
        <v>-1</v>
      </c>
      <c r="N18" s="4">
        <f>H18-J18*6</f>
        <v>-2.5</v>
      </c>
    </row>
    <row r="19" spans="1:14" ht="15" x14ac:dyDescent="0.3">
      <c r="A19" s="3" t="s">
        <v>61</v>
      </c>
      <c r="B19" s="3" t="s">
        <v>111</v>
      </c>
      <c r="C19" s="3" t="s">
        <v>145</v>
      </c>
      <c r="D19" s="3" t="s">
        <v>99</v>
      </c>
      <c r="E19" s="3" t="s">
        <v>125</v>
      </c>
      <c r="F19" s="3" t="s">
        <v>82</v>
      </c>
      <c r="G19" s="4" t="s">
        <v>83</v>
      </c>
      <c r="H19" s="4" t="s">
        <v>83</v>
      </c>
      <c r="I19" s="3" t="s">
        <v>122</v>
      </c>
      <c r="J19" s="4">
        <v>0.54</v>
      </c>
      <c r="K19" s="3" t="s">
        <v>122</v>
      </c>
      <c r="L19" s="7" t="s">
        <v>50</v>
      </c>
      <c r="M19" s="9"/>
      <c r="N19" s="9"/>
    </row>
    <row r="20" spans="1:14" ht="15" x14ac:dyDescent="0.3">
      <c r="A20" s="3" t="s">
        <v>61</v>
      </c>
      <c r="B20" s="3" t="s">
        <v>111</v>
      </c>
      <c r="C20" s="3" t="s">
        <v>146</v>
      </c>
      <c r="D20" s="3" t="s">
        <v>120</v>
      </c>
      <c r="E20" s="3" t="s">
        <v>125</v>
      </c>
      <c r="F20" s="3" t="s">
        <v>82</v>
      </c>
      <c r="G20" s="4" t="s">
        <v>83</v>
      </c>
      <c r="H20" s="4" t="s">
        <v>83</v>
      </c>
      <c r="I20" s="3" t="s">
        <v>122</v>
      </c>
      <c r="J20" s="4">
        <v>0.54</v>
      </c>
      <c r="K20" s="3" t="s">
        <v>122</v>
      </c>
      <c r="L20" s="7" t="s">
        <v>147</v>
      </c>
      <c r="M20" s="9"/>
      <c r="N20" s="9"/>
    </row>
    <row r="21" spans="1:14" ht="15" x14ac:dyDescent="0.3">
      <c r="A21" s="3" t="s">
        <v>61</v>
      </c>
      <c r="B21" s="3" t="s">
        <v>111</v>
      </c>
      <c r="C21" s="3" t="s">
        <v>148</v>
      </c>
      <c r="D21" s="3" t="s">
        <v>100</v>
      </c>
      <c r="E21" s="3" t="s">
        <v>91</v>
      </c>
      <c r="F21" s="3" t="s">
        <v>91</v>
      </c>
      <c r="G21" s="4" t="s">
        <v>83</v>
      </c>
      <c r="H21" s="4" t="s">
        <v>83</v>
      </c>
      <c r="I21" s="3" t="s">
        <v>122</v>
      </c>
      <c r="J21" s="4">
        <v>0.54</v>
      </c>
      <c r="K21" s="3" t="s">
        <v>122</v>
      </c>
      <c r="L21" s="7" t="s">
        <v>50</v>
      </c>
      <c r="M21" s="9"/>
      <c r="N21" s="9"/>
    </row>
    <row r="22" spans="1:14" ht="15" x14ac:dyDescent="0.3">
      <c r="A22" s="3" t="s">
        <v>61</v>
      </c>
      <c r="B22" s="3" t="s">
        <v>111</v>
      </c>
      <c r="C22" s="3" t="s">
        <v>149</v>
      </c>
      <c r="D22" s="3" t="s">
        <v>99</v>
      </c>
      <c r="E22" s="3" t="s">
        <v>104</v>
      </c>
      <c r="F22" s="3" t="s">
        <v>104</v>
      </c>
      <c r="G22" s="4" t="s">
        <v>83</v>
      </c>
      <c r="H22" s="4" t="s">
        <v>83</v>
      </c>
      <c r="I22" s="3" t="s">
        <v>122</v>
      </c>
      <c r="J22" s="4">
        <v>0.55000000000000004</v>
      </c>
      <c r="K22" s="3" t="s">
        <v>122</v>
      </c>
      <c r="L22" s="7" t="s">
        <v>50</v>
      </c>
      <c r="M22" s="9"/>
      <c r="N22" s="9"/>
    </row>
    <row r="23" spans="1:14" ht="15" x14ac:dyDescent="0.3">
      <c r="A23" s="3" t="s">
        <v>61</v>
      </c>
      <c r="B23" s="3" t="s">
        <v>111</v>
      </c>
      <c r="C23" s="3" t="s">
        <v>150</v>
      </c>
      <c r="D23" s="3" t="s">
        <v>120</v>
      </c>
      <c r="E23" s="3" t="s">
        <v>139</v>
      </c>
      <c r="F23" s="3" t="s">
        <v>92</v>
      </c>
      <c r="G23" s="4" t="s">
        <v>83</v>
      </c>
      <c r="H23" s="4" t="s">
        <v>83</v>
      </c>
      <c r="I23" s="3" t="s">
        <v>122</v>
      </c>
      <c r="J23" s="4">
        <v>0.56000000000000005</v>
      </c>
      <c r="K23" s="3" t="s">
        <v>122</v>
      </c>
      <c r="L23" s="7" t="s">
        <v>147</v>
      </c>
      <c r="M23" s="9"/>
      <c r="N23" s="9"/>
    </row>
    <row r="24" spans="1:14" ht="15" x14ac:dyDescent="0.3">
      <c r="A24" s="3" t="s">
        <v>61</v>
      </c>
      <c r="B24" s="3" t="s">
        <v>111</v>
      </c>
      <c r="C24" s="3" t="s">
        <v>151</v>
      </c>
      <c r="D24" s="3" t="s">
        <v>152</v>
      </c>
      <c r="E24" s="3" t="s">
        <v>83</v>
      </c>
      <c r="F24" s="3" t="s">
        <v>83</v>
      </c>
      <c r="G24" s="4" t="s">
        <v>83</v>
      </c>
      <c r="H24" s="4" t="s">
        <v>83</v>
      </c>
      <c r="I24" s="3" t="s">
        <v>122</v>
      </c>
      <c r="J24" s="4">
        <v>0.56999999999999995</v>
      </c>
      <c r="K24" s="3" t="s">
        <v>122</v>
      </c>
      <c r="L24" s="7" t="s">
        <v>134</v>
      </c>
      <c r="M24" s="9"/>
      <c r="N24" s="9"/>
    </row>
    <row r="25" spans="1:14" ht="15" x14ac:dyDescent="0.3">
      <c r="A25" s="3" t="s">
        <v>61</v>
      </c>
      <c r="B25" s="3" t="s">
        <v>111</v>
      </c>
      <c r="C25" s="3" t="s">
        <v>153</v>
      </c>
      <c r="D25" s="3" t="s">
        <v>99</v>
      </c>
      <c r="E25" s="3" t="s">
        <v>139</v>
      </c>
      <c r="F25" s="3" t="s">
        <v>92</v>
      </c>
      <c r="G25" s="4" t="s">
        <v>83</v>
      </c>
      <c r="H25" s="4">
        <v>0.57999999999999996</v>
      </c>
      <c r="I25" s="3" t="s">
        <v>122</v>
      </c>
      <c r="J25" s="4">
        <v>0.57999999999999996</v>
      </c>
      <c r="K25" s="3" t="s">
        <v>122</v>
      </c>
      <c r="L25" s="7" t="s">
        <v>51</v>
      </c>
      <c r="M25" s="4">
        <f>H25-J25*3</f>
        <v>-1.1599999999999997</v>
      </c>
      <c r="N25" s="4">
        <f>H25-J25*6</f>
        <v>-2.8999999999999995</v>
      </c>
    </row>
    <row r="26" spans="1:14" ht="15" x14ac:dyDescent="0.3">
      <c r="A26" s="3" t="s">
        <v>61</v>
      </c>
      <c r="B26" s="3" t="s">
        <v>111</v>
      </c>
      <c r="C26" s="3" t="s">
        <v>154</v>
      </c>
      <c r="D26" s="3" t="s">
        <v>155</v>
      </c>
      <c r="E26" s="3" t="s">
        <v>83</v>
      </c>
      <c r="F26" s="3" t="s">
        <v>83</v>
      </c>
      <c r="G26" s="4" t="s">
        <v>83</v>
      </c>
      <c r="H26" s="4" t="s">
        <v>83</v>
      </c>
      <c r="I26" s="3" t="s">
        <v>122</v>
      </c>
      <c r="J26" s="4">
        <v>0.57999999999999996</v>
      </c>
      <c r="K26" s="3" t="s">
        <v>122</v>
      </c>
      <c r="L26" s="7" t="s">
        <v>134</v>
      </c>
      <c r="M26" s="9"/>
      <c r="N26" s="9"/>
    </row>
    <row r="27" spans="1:14" ht="15" x14ac:dyDescent="0.3">
      <c r="A27" s="3" t="s">
        <v>61</v>
      </c>
      <c r="B27" s="3" t="s">
        <v>111</v>
      </c>
      <c r="C27" s="3" t="s">
        <v>156</v>
      </c>
      <c r="D27" s="3" t="s">
        <v>100</v>
      </c>
      <c r="E27" s="3" t="s">
        <v>139</v>
      </c>
      <c r="F27" s="3" t="s">
        <v>92</v>
      </c>
      <c r="G27" s="4" t="s">
        <v>83</v>
      </c>
      <c r="H27" s="4" t="s">
        <v>83</v>
      </c>
      <c r="I27" s="3" t="s">
        <v>122</v>
      </c>
      <c r="J27" s="4">
        <v>0.61</v>
      </c>
      <c r="K27" s="3" t="s">
        <v>122</v>
      </c>
      <c r="L27" s="7" t="s">
        <v>50</v>
      </c>
      <c r="M27" s="9"/>
      <c r="N27" s="9"/>
    </row>
    <row r="28" spans="1:14" ht="15" x14ac:dyDescent="0.3">
      <c r="A28" s="3" t="s">
        <v>61</v>
      </c>
      <c r="B28" s="3" t="s">
        <v>111</v>
      </c>
      <c r="C28" s="3" t="s">
        <v>157</v>
      </c>
      <c r="D28" s="3" t="s">
        <v>107</v>
      </c>
      <c r="E28" s="3" t="s">
        <v>139</v>
      </c>
      <c r="F28" s="3" t="s">
        <v>92</v>
      </c>
      <c r="G28" s="4" t="s">
        <v>83</v>
      </c>
      <c r="H28" s="4" t="s">
        <v>83</v>
      </c>
      <c r="I28" s="3" t="s">
        <v>122</v>
      </c>
      <c r="J28" s="4">
        <v>0.61</v>
      </c>
      <c r="K28" s="3" t="s">
        <v>122</v>
      </c>
      <c r="L28" s="7" t="s">
        <v>50</v>
      </c>
      <c r="M28" s="9"/>
      <c r="N28" s="9"/>
    </row>
    <row r="29" spans="1:14" ht="15" x14ac:dyDescent="0.3">
      <c r="A29" s="3" t="s">
        <v>61</v>
      </c>
      <c r="B29" s="3" t="s">
        <v>111</v>
      </c>
      <c r="C29" s="3" t="s">
        <v>158</v>
      </c>
      <c r="D29" s="3" t="s">
        <v>107</v>
      </c>
      <c r="E29" s="3" t="s">
        <v>144</v>
      </c>
      <c r="F29" s="3" t="s">
        <v>96</v>
      </c>
      <c r="G29" s="4" t="s">
        <v>83</v>
      </c>
      <c r="H29" s="4">
        <v>0.62</v>
      </c>
      <c r="I29" s="3" t="s">
        <v>122</v>
      </c>
      <c r="J29" s="4">
        <v>0.62</v>
      </c>
      <c r="K29" s="3" t="s">
        <v>122</v>
      </c>
      <c r="L29" s="7" t="s">
        <v>51</v>
      </c>
      <c r="M29" s="4">
        <f>H29-J29*3</f>
        <v>-1.2399999999999998</v>
      </c>
      <c r="N29" s="4">
        <f>H29-J29*6</f>
        <v>-3.0999999999999996</v>
      </c>
    </row>
    <row r="30" spans="1:14" ht="15" x14ac:dyDescent="0.3">
      <c r="A30" s="3" t="s">
        <v>61</v>
      </c>
      <c r="B30" s="3" t="s">
        <v>111</v>
      </c>
      <c r="C30" s="3" t="s">
        <v>159</v>
      </c>
      <c r="D30" s="3" t="s">
        <v>120</v>
      </c>
      <c r="E30" s="3" t="s">
        <v>83</v>
      </c>
      <c r="F30" s="3" t="s">
        <v>83</v>
      </c>
      <c r="G30" s="4" t="s">
        <v>83</v>
      </c>
      <c r="H30" s="4" t="s">
        <v>83</v>
      </c>
      <c r="I30" s="3" t="s">
        <v>122</v>
      </c>
      <c r="J30" s="4">
        <v>0.71</v>
      </c>
      <c r="K30" s="3" t="s">
        <v>122</v>
      </c>
      <c r="L30" s="7" t="s">
        <v>131</v>
      </c>
      <c r="M30" s="9"/>
      <c r="N30" s="9"/>
    </row>
    <row r="31" spans="1:14" ht="15" x14ac:dyDescent="0.3">
      <c r="A31" s="3" t="s">
        <v>63</v>
      </c>
      <c r="B31" s="3" t="s">
        <v>111</v>
      </c>
      <c r="C31" s="3" t="s">
        <v>160</v>
      </c>
      <c r="D31" s="3" t="s">
        <v>161</v>
      </c>
      <c r="E31" s="3" t="s">
        <v>83</v>
      </c>
      <c r="F31" s="3" t="s">
        <v>83</v>
      </c>
      <c r="G31" s="4" t="s">
        <v>83</v>
      </c>
      <c r="H31" s="4">
        <v>-8.4413888583245509</v>
      </c>
      <c r="I31" s="3" t="s">
        <v>162</v>
      </c>
      <c r="J31" s="4">
        <v>0.39401103230890472</v>
      </c>
      <c r="K31" s="3" t="s">
        <v>163</v>
      </c>
      <c r="L31" s="8" t="s">
        <v>48</v>
      </c>
      <c r="M31" s="4">
        <f t="shared" ref="M31:M38" si="2">H31-J31*3</f>
        <v>-9.6234219552512652</v>
      </c>
      <c r="N31" s="4">
        <f t="shared" ref="N31:N38" si="3">H31-J31*6</f>
        <v>-10.80545505217798</v>
      </c>
    </row>
    <row r="32" spans="1:14" ht="15" x14ac:dyDescent="0.3">
      <c r="A32" s="3" t="s">
        <v>63</v>
      </c>
      <c r="B32" s="3" t="s">
        <v>111</v>
      </c>
      <c r="C32" s="3" t="s">
        <v>164</v>
      </c>
      <c r="D32" s="3" t="s">
        <v>81</v>
      </c>
      <c r="E32" s="3" t="s">
        <v>83</v>
      </c>
      <c r="F32" s="3" t="s">
        <v>83</v>
      </c>
      <c r="G32" s="4" t="s">
        <v>83</v>
      </c>
      <c r="H32" s="4">
        <v>-8.1888738999574624</v>
      </c>
      <c r="I32" s="3" t="s">
        <v>165</v>
      </c>
      <c r="J32" s="4">
        <v>0.46210720887245837</v>
      </c>
      <c r="K32" s="3" t="s">
        <v>166</v>
      </c>
      <c r="L32" s="8" t="s">
        <v>48</v>
      </c>
      <c r="M32" s="4">
        <f t="shared" si="2"/>
        <v>-9.5751955265748379</v>
      </c>
      <c r="N32" s="4">
        <f t="shared" si="3"/>
        <v>-10.961517153192212</v>
      </c>
    </row>
    <row r="33" spans="1:14" ht="15" x14ac:dyDescent="0.3">
      <c r="A33" s="3" t="s">
        <v>63</v>
      </c>
      <c r="B33" s="3" t="s">
        <v>111</v>
      </c>
      <c r="C33" s="3" t="s">
        <v>167</v>
      </c>
      <c r="D33" s="3" t="s">
        <v>108</v>
      </c>
      <c r="E33" s="3" t="s">
        <v>83</v>
      </c>
      <c r="F33" s="3" t="s">
        <v>83</v>
      </c>
      <c r="G33" s="4" t="s">
        <v>83</v>
      </c>
      <c r="H33" s="4">
        <v>-7.7917311067435353</v>
      </c>
      <c r="I33" s="3" t="s">
        <v>168</v>
      </c>
      <c r="J33" s="4">
        <v>0.55524708495280406</v>
      </c>
      <c r="K33" s="3" t="s">
        <v>169</v>
      </c>
      <c r="L33" s="8" t="s">
        <v>48</v>
      </c>
      <c r="M33" s="4">
        <f t="shared" si="2"/>
        <v>-9.4574723616019476</v>
      </c>
      <c r="N33" s="4">
        <f t="shared" si="3"/>
        <v>-11.12321361646036</v>
      </c>
    </row>
    <row r="34" spans="1:14" ht="15" x14ac:dyDescent="0.3">
      <c r="A34" s="3" t="s">
        <v>64</v>
      </c>
      <c r="B34" s="3" t="s">
        <v>98</v>
      </c>
      <c r="C34" s="3" t="s">
        <v>170</v>
      </c>
      <c r="D34" s="3" t="s">
        <v>161</v>
      </c>
      <c r="E34" s="3" t="s">
        <v>83</v>
      </c>
      <c r="F34" s="3" t="s">
        <v>83</v>
      </c>
      <c r="G34" s="4" t="s">
        <v>83</v>
      </c>
      <c r="H34" s="4">
        <v>-25.154</v>
      </c>
      <c r="I34" s="3" t="s">
        <v>127</v>
      </c>
      <c r="J34" s="4">
        <v>0.3826</v>
      </c>
      <c r="K34" s="3" t="s">
        <v>171</v>
      </c>
      <c r="L34" s="7" t="s">
        <v>123</v>
      </c>
      <c r="M34" s="4">
        <f t="shared" si="2"/>
        <v>-26.3018</v>
      </c>
      <c r="N34" s="4">
        <f t="shared" si="3"/>
        <v>-27.4496</v>
      </c>
    </row>
    <row r="35" spans="1:14" ht="15" x14ac:dyDescent="0.3">
      <c r="A35" s="3" t="s">
        <v>64</v>
      </c>
      <c r="B35" s="3" t="s">
        <v>98</v>
      </c>
      <c r="C35" s="3" t="s">
        <v>170</v>
      </c>
      <c r="D35" s="3" t="s">
        <v>161</v>
      </c>
      <c r="E35" s="3" t="s">
        <v>83</v>
      </c>
      <c r="F35" s="3" t="s">
        <v>83</v>
      </c>
      <c r="G35" s="4" t="s">
        <v>83</v>
      </c>
      <c r="H35" s="4">
        <v>-24.419</v>
      </c>
      <c r="I35" s="3" t="s">
        <v>127</v>
      </c>
      <c r="J35" s="4">
        <v>0.4</v>
      </c>
      <c r="K35" s="3" t="s">
        <v>171</v>
      </c>
      <c r="L35" s="7" t="s">
        <v>123</v>
      </c>
      <c r="M35" s="4">
        <f t="shared" si="2"/>
        <v>-25.619</v>
      </c>
      <c r="N35" s="4">
        <f t="shared" si="3"/>
        <v>-26.819000000000003</v>
      </c>
    </row>
    <row r="36" spans="1:14" ht="15" x14ac:dyDescent="0.3">
      <c r="A36" s="3" t="s">
        <v>64</v>
      </c>
      <c r="B36" s="3" t="s">
        <v>98</v>
      </c>
      <c r="C36" s="3" t="s">
        <v>170</v>
      </c>
      <c r="D36" s="3" t="s">
        <v>161</v>
      </c>
      <c r="E36" s="3" t="s">
        <v>83</v>
      </c>
      <c r="F36" s="3" t="s">
        <v>83</v>
      </c>
      <c r="G36" s="4" t="s">
        <v>83</v>
      </c>
      <c r="H36" s="4">
        <v>-23.382000000000001</v>
      </c>
      <c r="I36" s="3" t="s">
        <v>127</v>
      </c>
      <c r="J36" s="4">
        <v>0.41</v>
      </c>
      <c r="K36" s="3" t="s">
        <v>171</v>
      </c>
      <c r="L36" s="7" t="s">
        <v>123</v>
      </c>
      <c r="M36" s="4">
        <f t="shared" si="2"/>
        <v>-24.612000000000002</v>
      </c>
      <c r="N36" s="4">
        <f t="shared" si="3"/>
        <v>-25.842000000000002</v>
      </c>
    </row>
    <row r="37" spans="1:14" ht="15" x14ac:dyDescent="0.3">
      <c r="A37" s="3" t="s">
        <v>64</v>
      </c>
      <c r="B37" s="3" t="s">
        <v>98</v>
      </c>
      <c r="C37" s="3" t="s">
        <v>170</v>
      </c>
      <c r="D37" s="3" t="s">
        <v>161</v>
      </c>
      <c r="E37" s="3" t="s">
        <v>83</v>
      </c>
      <c r="F37" s="3" t="s">
        <v>83</v>
      </c>
      <c r="G37" s="4" t="s">
        <v>83</v>
      </c>
      <c r="H37" s="4">
        <v>-25.154</v>
      </c>
      <c r="I37" s="3" t="s">
        <v>127</v>
      </c>
      <c r="J37" s="4">
        <v>0.38</v>
      </c>
      <c r="K37" s="3" t="s">
        <v>171</v>
      </c>
      <c r="L37" s="7" t="s">
        <v>123</v>
      </c>
      <c r="M37" s="4">
        <f t="shared" si="2"/>
        <v>-26.294</v>
      </c>
      <c r="N37" s="4">
        <f t="shared" si="3"/>
        <v>-27.434000000000001</v>
      </c>
    </row>
    <row r="38" spans="1:14" ht="15" x14ac:dyDescent="0.3">
      <c r="A38" s="3" t="s">
        <v>64</v>
      </c>
      <c r="B38" s="3" t="s">
        <v>98</v>
      </c>
      <c r="C38" s="3" t="s">
        <v>172</v>
      </c>
      <c r="D38" s="3" t="s">
        <v>120</v>
      </c>
      <c r="E38" s="3" t="s">
        <v>83</v>
      </c>
      <c r="F38" s="3" t="s">
        <v>83</v>
      </c>
      <c r="G38" s="4" t="s">
        <v>83</v>
      </c>
      <c r="H38" s="4">
        <v>-24.425000000000001</v>
      </c>
      <c r="I38" s="3" t="s">
        <v>127</v>
      </c>
      <c r="J38" s="4">
        <v>0.39</v>
      </c>
      <c r="K38" s="3" t="s">
        <v>171</v>
      </c>
      <c r="L38" s="7" t="s">
        <v>173</v>
      </c>
      <c r="M38" s="4">
        <f t="shared" si="2"/>
        <v>-25.594999999999999</v>
      </c>
      <c r="N38" s="4">
        <f t="shared" si="3"/>
        <v>-26.765000000000001</v>
      </c>
    </row>
    <row r="39" spans="1:14" ht="15" x14ac:dyDescent="0.3">
      <c r="A39" s="3" t="s">
        <v>64</v>
      </c>
      <c r="B39" s="3" t="s">
        <v>98</v>
      </c>
      <c r="C39" s="3" t="s">
        <v>170</v>
      </c>
      <c r="D39" s="3" t="s">
        <v>161</v>
      </c>
      <c r="E39" s="3" t="s">
        <v>83</v>
      </c>
      <c r="F39" s="3" t="s">
        <v>83</v>
      </c>
      <c r="G39" s="4" t="s">
        <v>83</v>
      </c>
      <c r="H39" s="4" t="s">
        <v>83</v>
      </c>
      <c r="I39" s="3" t="s">
        <v>127</v>
      </c>
      <c r="J39" s="4">
        <v>0.41</v>
      </c>
      <c r="K39" s="3" t="s">
        <v>171</v>
      </c>
      <c r="L39" s="7" t="s">
        <v>134</v>
      </c>
      <c r="M39" s="9"/>
      <c r="N39" s="9"/>
    </row>
    <row r="40" spans="1:14" ht="15" x14ac:dyDescent="0.3">
      <c r="A40" s="3" t="s">
        <v>65</v>
      </c>
      <c r="B40" s="3" t="s">
        <v>111</v>
      </c>
      <c r="C40" s="3" t="s">
        <v>174</v>
      </c>
      <c r="D40" s="3" t="s">
        <v>175</v>
      </c>
      <c r="E40" s="3" t="s">
        <v>125</v>
      </c>
      <c r="F40" s="3" t="s">
        <v>82</v>
      </c>
      <c r="G40" s="4" t="s">
        <v>83</v>
      </c>
      <c r="H40" s="4" t="s">
        <v>83</v>
      </c>
      <c r="I40" s="3" t="s">
        <v>83</v>
      </c>
      <c r="J40" s="4">
        <v>0.48</v>
      </c>
      <c r="K40" s="3" t="s">
        <v>122</v>
      </c>
      <c r="L40" s="7" t="s">
        <v>50</v>
      </c>
      <c r="M40" s="9"/>
      <c r="N40" s="9"/>
    </row>
    <row r="41" spans="1:14" ht="15" x14ac:dyDescent="0.3">
      <c r="A41" s="3" t="s">
        <v>65</v>
      </c>
      <c r="B41" s="3" t="s">
        <v>111</v>
      </c>
      <c r="C41" s="3" t="s">
        <v>174</v>
      </c>
      <c r="D41" s="3" t="s">
        <v>175</v>
      </c>
      <c r="E41" s="3" t="s">
        <v>139</v>
      </c>
      <c r="F41" s="3" t="s">
        <v>92</v>
      </c>
      <c r="G41" s="4" t="s">
        <v>83</v>
      </c>
      <c r="H41" s="4" t="s">
        <v>83</v>
      </c>
      <c r="I41" s="3" t="s">
        <v>83</v>
      </c>
      <c r="J41" s="4">
        <v>0.48</v>
      </c>
      <c r="K41" s="3" t="s">
        <v>122</v>
      </c>
      <c r="L41" s="7" t="s">
        <v>50</v>
      </c>
      <c r="M41" s="9"/>
      <c r="N41" s="9"/>
    </row>
    <row r="42" spans="1:14" ht="15" x14ac:dyDescent="0.3">
      <c r="A42" s="3" t="s">
        <v>65</v>
      </c>
      <c r="B42" s="3" t="s">
        <v>111</v>
      </c>
      <c r="C42" s="3" t="s">
        <v>174</v>
      </c>
      <c r="D42" s="3" t="s">
        <v>175</v>
      </c>
      <c r="E42" s="3" t="s">
        <v>176</v>
      </c>
      <c r="F42" s="3" t="s">
        <v>177</v>
      </c>
      <c r="G42" s="4" t="s">
        <v>83</v>
      </c>
      <c r="H42" s="4" t="s">
        <v>83</v>
      </c>
      <c r="I42" s="3" t="s">
        <v>83</v>
      </c>
      <c r="J42" s="4">
        <v>0.45</v>
      </c>
      <c r="K42" s="3" t="s">
        <v>122</v>
      </c>
      <c r="L42" s="7" t="s">
        <v>50</v>
      </c>
      <c r="M42" s="9"/>
      <c r="N42" s="9"/>
    </row>
    <row r="43" spans="1:14" ht="15" x14ac:dyDescent="0.3">
      <c r="A43" s="3" t="s">
        <v>65</v>
      </c>
      <c r="B43" s="3" t="s">
        <v>111</v>
      </c>
      <c r="C43" s="3" t="s">
        <v>174</v>
      </c>
      <c r="D43" s="3" t="s">
        <v>175</v>
      </c>
      <c r="E43" s="3" t="s">
        <v>178</v>
      </c>
      <c r="F43" s="3" t="s">
        <v>82</v>
      </c>
      <c r="G43" s="4" t="s">
        <v>83</v>
      </c>
      <c r="H43" s="4" t="s">
        <v>83</v>
      </c>
      <c r="I43" s="3" t="s">
        <v>83</v>
      </c>
      <c r="J43" s="4">
        <v>0.41</v>
      </c>
      <c r="K43" s="3" t="s">
        <v>122</v>
      </c>
      <c r="L43" s="7" t="s">
        <v>50</v>
      </c>
      <c r="M43" s="9"/>
      <c r="N43" s="9"/>
    </row>
    <row r="44" spans="1:14" ht="15" x14ac:dyDescent="0.3">
      <c r="A44" s="3" t="s">
        <v>66</v>
      </c>
      <c r="B44" s="3" t="s">
        <v>84</v>
      </c>
      <c r="C44" s="3" t="s">
        <v>179</v>
      </c>
      <c r="D44" s="3" t="s">
        <v>107</v>
      </c>
      <c r="E44" s="3" t="s">
        <v>83</v>
      </c>
      <c r="F44" s="3" t="s">
        <v>83</v>
      </c>
      <c r="G44" s="4" t="s">
        <v>83</v>
      </c>
      <c r="H44" s="4">
        <v>-7.490797477668897</v>
      </c>
      <c r="I44" s="3" t="s">
        <v>121</v>
      </c>
      <c r="J44" s="4">
        <v>0.55300000000000005</v>
      </c>
      <c r="K44" s="3" t="s">
        <v>180</v>
      </c>
      <c r="L44" s="8" t="s">
        <v>48</v>
      </c>
      <c r="M44" s="4">
        <f t="shared" ref="M44:M49" si="4">H44-J44*3</f>
        <v>-9.1497974776688977</v>
      </c>
      <c r="N44" s="4">
        <f t="shared" ref="N44:N49" si="5">H44-J44*6</f>
        <v>-10.808797477668897</v>
      </c>
    </row>
    <row r="45" spans="1:14" ht="15" x14ac:dyDescent="0.3">
      <c r="A45" s="3" t="s">
        <v>66</v>
      </c>
      <c r="B45" s="3" t="s">
        <v>84</v>
      </c>
      <c r="C45" s="3" t="s">
        <v>179</v>
      </c>
      <c r="D45" s="3" t="s">
        <v>107</v>
      </c>
      <c r="E45" s="3" t="s">
        <v>83</v>
      </c>
      <c r="F45" s="3" t="s">
        <v>83</v>
      </c>
      <c r="G45" s="4" t="s">
        <v>83</v>
      </c>
      <c r="H45" s="4">
        <v>-5.9318141382538387</v>
      </c>
      <c r="I45" s="3" t="s">
        <v>121</v>
      </c>
      <c r="J45" s="4">
        <v>0.89900000000000002</v>
      </c>
      <c r="K45" s="3" t="s">
        <v>180</v>
      </c>
      <c r="L45" s="8" t="s">
        <v>48</v>
      </c>
      <c r="M45" s="4">
        <f t="shared" si="4"/>
        <v>-8.6288141382538388</v>
      </c>
      <c r="N45" s="4">
        <f t="shared" si="5"/>
        <v>-11.32581413825384</v>
      </c>
    </row>
    <row r="46" spans="1:14" ht="15" x14ac:dyDescent="0.3">
      <c r="A46" s="3" t="s">
        <v>66</v>
      </c>
      <c r="B46" s="3" t="s">
        <v>84</v>
      </c>
      <c r="C46" s="3" t="s">
        <v>181</v>
      </c>
      <c r="D46" s="3" t="s">
        <v>100</v>
      </c>
      <c r="E46" s="3" t="s">
        <v>83</v>
      </c>
      <c r="F46" s="3" t="s">
        <v>83</v>
      </c>
      <c r="G46" s="4" t="s">
        <v>83</v>
      </c>
      <c r="H46" s="4">
        <v>-7.5451551399914898</v>
      </c>
      <c r="I46" s="3" t="s">
        <v>121</v>
      </c>
      <c r="J46" s="4">
        <v>0.53600000000000003</v>
      </c>
      <c r="K46" s="3" t="s">
        <v>180</v>
      </c>
      <c r="L46" s="8" t="s">
        <v>48</v>
      </c>
      <c r="M46" s="4">
        <f t="shared" si="4"/>
        <v>-9.1531551399914903</v>
      </c>
      <c r="N46" s="4">
        <f t="shared" si="5"/>
        <v>-10.761155139991491</v>
      </c>
    </row>
    <row r="47" spans="1:14" ht="15" x14ac:dyDescent="0.3">
      <c r="A47" s="3" t="s">
        <v>66</v>
      </c>
      <c r="B47" s="3" t="s">
        <v>84</v>
      </c>
      <c r="C47" s="3" t="s">
        <v>181</v>
      </c>
      <c r="D47" s="3" t="s">
        <v>100</v>
      </c>
      <c r="E47" s="3" t="s">
        <v>83</v>
      </c>
      <c r="F47" s="3" t="s">
        <v>83</v>
      </c>
      <c r="G47" s="4" t="s">
        <v>83</v>
      </c>
      <c r="H47" s="4">
        <v>-5.8728952016351927</v>
      </c>
      <c r="I47" s="3" t="s">
        <v>121</v>
      </c>
      <c r="J47" s="4">
        <v>0.89900000000000002</v>
      </c>
      <c r="K47" s="3" t="s">
        <v>180</v>
      </c>
      <c r="L47" s="8" t="s">
        <v>48</v>
      </c>
      <c r="M47" s="4">
        <f t="shared" si="4"/>
        <v>-8.5698952016351928</v>
      </c>
      <c r="N47" s="4">
        <f t="shared" si="5"/>
        <v>-11.266895201635194</v>
      </c>
    </row>
    <row r="48" spans="1:14" ht="15" x14ac:dyDescent="0.3">
      <c r="A48" s="3" t="s">
        <v>66</v>
      </c>
      <c r="B48" s="3" t="s">
        <v>84</v>
      </c>
      <c r="C48" s="3" t="s">
        <v>182</v>
      </c>
      <c r="D48" s="3" t="s">
        <v>102</v>
      </c>
      <c r="E48" s="3" t="s">
        <v>83</v>
      </c>
      <c r="F48" s="3" t="s">
        <v>83</v>
      </c>
      <c r="G48" s="4" t="s">
        <v>83</v>
      </c>
      <c r="H48" s="4">
        <v>-7.3882766919926581</v>
      </c>
      <c r="I48" s="3" t="s">
        <v>121</v>
      </c>
      <c r="J48" s="4">
        <v>0.58199999999999996</v>
      </c>
      <c r="K48" s="3" t="s">
        <v>180</v>
      </c>
      <c r="L48" s="8" t="s">
        <v>48</v>
      </c>
      <c r="M48" s="4">
        <f t="shared" si="4"/>
        <v>-9.1342766919926586</v>
      </c>
      <c r="N48" s="4">
        <f t="shared" si="5"/>
        <v>-10.880276691992659</v>
      </c>
    </row>
    <row r="49" spans="1:14" ht="15" x14ac:dyDescent="0.3">
      <c r="A49" s="3" t="s">
        <v>66</v>
      </c>
      <c r="B49" s="3" t="s">
        <v>84</v>
      </c>
      <c r="C49" s="3" t="s">
        <v>182</v>
      </c>
      <c r="D49" s="3" t="s">
        <v>102</v>
      </c>
      <c r="E49" s="3" t="s">
        <v>83</v>
      </c>
      <c r="F49" s="3" t="s">
        <v>83</v>
      </c>
      <c r="G49" s="4" t="s">
        <v>83</v>
      </c>
      <c r="H49" s="4">
        <v>-5.0996328713435286</v>
      </c>
      <c r="I49" s="3" t="s">
        <v>121</v>
      </c>
      <c r="J49" s="4">
        <v>1.081</v>
      </c>
      <c r="K49" s="3" t="s">
        <v>180</v>
      </c>
      <c r="L49" s="7" t="s">
        <v>183</v>
      </c>
      <c r="M49" s="4">
        <f t="shared" si="4"/>
        <v>-8.3426328713435289</v>
      </c>
      <c r="N49" s="4">
        <f t="shared" si="5"/>
        <v>-11.585632871343527</v>
      </c>
    </row>
    <row r="50" spans="1:14" ht="15" x14ac:dyDescent="0.3">
      <c r="A50" s="3" t="s">
        <v>67</v>
      </c>
      <c r="B50" s="3" t="s">
        <v>111</v>
      </c>
      <c r="C50" s="3" t="s">
        <v>179</v>
      </c>
      <c r="D50" s="3" t="s">
        <v>107</v>
      </c>
      <c r="E50" s="3" t="s">
        <v>184</v>
      </c>
      <c r="F50" s="3" t="s">
        <v>184</v>
      </c>
      <c r="G50" s="4" t="s">
        <v>83</v>
      </c>
      <c r="H50" s="4" t="s">
        <v>83</v>
      </c>
      <c r="I50" s="3" t="s">
        <v>83</v>
      </c>
      <c r="J50" s="4">
        <v>0.65</v>
      </c>
      <c r="K50" s="3" t="s">
        <v>83</v>
      </c>
      <c r="L50" s="7" t="s">
        <v>50</v>
      </c>
      <c r="M50" s="9"/>
      <c r="N50" s="9"/>
    </row>
    <row r="51" spans="1:14" ht="15" x14ac:dyDescent="0.3">
      <c r="A51" s="3" t="s">
        <v>68</v>
      </c>
      <c r="B51" s="3" t="s">
        <v>84</v>
      </c>
      <c r="C51" s="3" t="s">
        <v>179</v>
      </c>
      <c r="D51" s="3" t="s">
        <v>107</v>
      </c>
      <c r="E51" s="3" t="s">
        <v>88</v>
      </c>
      <c r="F51" s="3" t="s">
        <v>88</v>
      </c>
      <c r="G51" s="4" t="s">
        <v>83</v>
      </c>
      <c r="H51" s="4">
        <v>-7.7</v>
      </c>
      <c r="I51" s="3" t="s">
        <v>185</v>
      </c>
      <c r="J51" s="4">
        <v>0.54</v>
      </c>
      <c r="K51" s="3" t="s">
        <v>122</v>
      </c>
      <c r="L51" s="3" t="s">
        <v>127</v>
      </c>
      <c r="M51" s="4">
        <f t="shared" ref="M51:M82" si="6">H51-J51*3</f>
        <v>-9.32</v>
      </c>
      <c r="N51" s="4">
        <f t="shared" ref="N51:N82" si="7">H51-J51*6</f>
        <v>-10.940000000000001</v>
      </c>
    </row>
    <row r="52" spans="1:14" ht="15" x14ac:dyDescent="0.3">
      <c r="A52" s="3" t="s">
        <v>68</v>
      </c>
      <c r="B52" s="3" t="s">
        <v>84</v>
      </c>
      <c r="C52" s="3" t="s">
        <v>186</v>
      </c>
      <c r="D52" s="3" t="s">
        <v>100</v>
      </c>
      <c r="E52" s="3" t="s">
        <v>110</v>
      </c>
      <c r="F52" s="3" t="s">
        <v>110</v>
      </c>
      <c r="G52" s="4" t="s">
        <v>83</v>
      </c>
      <c r="H52" s="4">
        <v>-7.72</v>
      </c>
      <c r="I52" s="3" t="s">
        <v>185</v>
      </c>
      <c r="J52" s="4">
        <v>0.5</v>
      </c>
      <c r="K52" s="3" t="s">
        <v>122</v>
      </c>
      <c r="L52" s="3" t="s">
        <v>127</v>
      </c>
      <c r="M52" s="4">
        <f t="shared" si="6"/>
        <v>-9.2199999999999989</v>
      </c>
      <c r="N52" s="4">
        <f t="shared" si="7"/>
        <v>-10.719999999999999</v>
      </c>
    </row>
    <row r="53" spans="1:14" ht="15" x14ac:dyDescent="0.3">
      <c r="A53" s="3" t="s">
        <v>68</v>
      </c>
      <c r="B53" s="3" t="s">
        <v>84</v>
      </c>
      <c r="C53" s="3" t="s">
        <v>187</v>
      </c>
      <c r="D53" s="3" t="s">
        <v>100</v>
      </c>
      <c r="E53" s="3" t="s">
        <v>188</v>
      </c>
      <c r="F53" s="3" t="s">
        <v>92</v>
      </c>
      <c r="G53" s="4" t="s">
        <v>83</v>
      </c>
      <c r="H53" s="4">
        <v>-7.53</v>
      </c>
      <c r="I53" s="3" t="s">
        <v>185</v>
      </c>
      <c r="J53" s="4">
        <v>0.56000000000000005</v>
      </c>
      <c r="K53" s="3" t="s">
        <v>122</v>
      </c>
      <c r="L53" s="3" t="s">
        <v>127</v>
      </c>
      <c r="M53" s="4">
        <f t="shared" si="6"/>
        <v>-9.2100000000000009</v>
      </c>
      <c r="N53" s="4">
        <f t="shared" si="7"/>
        <v>-10.89</v>
      </c>
    </row>
    <row r="54" spans="1:14" ht="15" x14ac:dyDescent="0.3">
      <c r="A54" s="3" t="s">
        <v>68</v>
      </c>
      <c r="B54" s="3" t="s">
        <v>84</v>
      </c>
      <c r="C54" s="3" t="s">
        <v>189</v>
      </c>
      <c r="D54" s="3" t="s">
        <v>81</v>
      </c>
      <c r="E54" s="3" t="s">
        <v>190</v>
      </c>
      <c r="F54" s="3" t="s">
        <v>82</v>
      </c>
      <c r="G54" s="4" t="s">
        <v>83</v>
      </c>
      <c r="H54" s="4">
        <v>-8.14</v>
      </c>
      <c r="I54" s="3" t="s">
        <v>185</v>
      </c>
      <c r="J54" s="4">
        <v>0.47</v>
      </c>
      <c r="K54" s="3" t="s">
        <v>122</v>
      </c>
      <c r="L54" s="3" t="s">
        <v>127</v>
      </c>
      <c r="M54" s="4">
        <f t="shared" si="6"/>
        <v>-9.5500000000000007</v>
      </c>
      <c r="N54" s="4">
        <f t="shared" si="7"/>
        <v>-10.96</v>
      </c>
    </row>
    <row r="55" spans="1:14" ht="15" x14ac:dyDescent="0.3">
      <c r="A55" s="3" t="s">
        <v>68</v>
      </c>
      <c r="B55" s="3" t="s">
        <v>84</v>
      </c>
      <c r="C55" s="3" t="s">
        <v>191</v>
      </c>
      <c r="D55" s="3" t="s">
        <v>108</v>
      </c>
      <c r="E55" s="3" t="s">
        <v>190</v>
      </c>
      <c r="F55" s="3" t="s">
        <v>82</v>
      </c>
      <c r="G55" s="4" t="s">
        <v>83</v>
      </c>
      <c r="H55" s="4">
        <v>-8.1999999999999993</v>
      </c>
      <c r="I55" s="3" t="s">
        <v>185</v>
      </c>
      <c r="J55" s="4">
        <v>0.49</v>
      </c>
      <c r="K55" s="3" t="s">
        <v>122</v>
      </c>
      <c r="L55" s="3" t="s">
        <v>127</v>
      </c>
      <c r="M55" s="4">
        <f t="shared" si="6"/>
        <v>-9.67</v>
      </c>
      <c r="N55" s="4">
        <f t="shared" si="7"/>
        <v>-11.139999999999999</v>
      </c>
    </row>
    <row r="56" spans="1:14" ht="15" x14ac:dyDescent="0.3">
      <c r="A56" s="3" t="s">
        <v>68</v>
      </c>
      <c r="B56" s="3" t="s">
        <v>84</v>
      </c>
      <c r="C56" s="3" t="s">
        <v>192</v>
      </c>
      <c r="D56" s="3" t="s">
        <v>99</v>
      </c>
      <c r="E56" s="3" t="s">
        <v>190</v>
      </c>
      <c r="F56" s="3" t="s">
        <v>82</v>
      </c>
      <c r="G56" s="4" t="s">
        <v>83</v>
      </c>
      <c r="H56" s="4">
        <v>-8.39</v>
      </c>
      <c r="I56" s="3" t="s">
        <v>185</v>
      </c>
      <c r="J56" s="4">
        <v>0.47</v>
      </c>
      <c r="K56" s="3" t="s">
        <v>122</v>
      </c>
      <c r="L56" s="3" t="s">
        <v>127</v>
      </c>
      <c r="M56" s="4">
        <f t="shared" si="6"/>
        <v>-9.8000000000000007</v>
      </c>
      <c r="N56" s="4">
        <f t="shared" si="7"/>
        <v>-11.21</v>
      </c>
    </row>
    <row r="57" spans="1:14" ht="15" x14ac:dyDescent="0.3">
      <c r="A57" s="3" t="s">
        <v>68</v>
      </c>
      <c r="B57" s="3" t="s">
        <v>111</v>
      </c>
      <c r="C57" s="3" t="s">
        <v>107</v>
      </c>
      <c r="D57" s="3" t="s">
        <v>107</v>
      </c>
      <c r="E57" s="3" t="s">
        <v>193</v>
      </c>
      <c r="F57" s="3" t="s">
        <v>88</v>
      </c>
      <c r="G57" s="4" t="s">
        <v>83</v>
      </c>
      <c r="H57" s="4">
        <v>-7.94</v>
      </c>
      <c r="I57" s="3" t="s">
        <v>194</v>
      </c>
      <c r="J57" s="4">
        <v>0.49</v>
      </c>
      <c r="K57" s="3" t="s">
        <v>122</v>
      </c>
      <c r="L57" s="3" t="s">
        <v>127</v>
      </c>
      <c r="M57" s="4">
        <f t="shared" si="6"/>
        <v>-9.41</v>
      </c>
      <c r="N57" s="4">
        <f t="shared" si="7"/>
        <v>-10.88</v>
      </c>
    </row>
    <row r="58" spans="1:14" ht="15" x14ac:dyDescent="0.3">
      <c r="A58" s="3" t="s">
        <v>68</v>
      </c>
      <c r="B58" s="3" t="s">
        <v>111</v>
      </c>
      <c r="C58" s="3" t="s">
        <v>107</v>
      </c>
      <c r="D58" s="3" t="s">
        <v>107</v>
      </c>
      <c r="E58" s="3" t="s">
        <v>139</v>
      </c>
      <c r="F58" s="3" t="s">
        <v>92</v>
      </c>
      <c r="G58" s="4" t="s">
        <v>83</v>
      </c>
      <c r="H58" s="4">
        <v>-7.97</v>
      </c>
      <c r="I58" s="3" t="s">
        <v>194</v>
      </c>
      <c r="J58" s="4">
        <v>0.46</v>
      </c>
      <c r="K58" s="3" t="s">
        <v>122</v>
      </c>
      <c r="L58" s="3" t="s">
        <v>127</v>
      </c>
      <c r="M58" s="4">
        <f t="shared" si="6"/>
        <v>-9.35</v>
      </c>
      <c r="N58" s="4">
        <f t="shared" si="7"/>
        <v>-10.73</v>
      </c>
    </row>
    <row r="59" spans="1:14" ht="15" x14ac:dyDescent="0.3">
      <c r="A59" s="3" t="s">
        <v>68</v>
      </c>
      <c r="B59" s="3" t="s">
        <v>111</v>
      </c>
      <c r="C59" s="3" t="s">
        <v>105</v>
      </c>
      <c r="D59" s="3" t="s">
        <v>105</v>
      </c>
      <c r="E59" s="3" t="s">
        <v>195</v>
      </c>
      <c r="F59" s="3" t="s">
        <v>91</v>
      </c>
      <c r="G59" s="4" t="s">
        <v>83</v>
      </c>
      <c r="H59" s="4">
        <v>-7.78</v>
      </c>
      <c r="I59" s="3" t="s">
        <v>194</v>
      </c>
      <c r="J59" s="4">
        <v>0.43</v>
      </c>
      <c r="K59" s="3" t="s">
        <v>122</v>
      </c>
      <c r="L59" s="3" t="s">
        <v>127</v>
      </c>
      <c r="M59" s="4">
        <f t="shared" si="6"/>
        <v>-9.07</v>
      </c>
      <c r="N59" s="4">
        <f t="shared" si="7"/>
        <v>-10.36</v>
      </c>
    </row>
    <row r="60" spans="1:14" ht="15" x14ac:dyDescent="0.3">
      <c r="A60" s="3" t="s">
        <v>68</v>
      </c>
      <c r="B60" s="3" t="s">
        <v>111</v>
      </c>
      <c r="C60" s="3" t="s">
        <v>107</v>
      </c>
      <c r="D60" s="3" t="s">
        <v>107</v>
      </c>
      <c r="E60" s="3" t="s">
        <v>196</v>
      </c>
      <c r="F60" s="3" t="s">
        <v>110</v>
      </c>
      <c r="G60" s="4" t="s">
        <v>83</v>
      </c>
      <c r="H60" s="4">
        <v>-7.82</v>
      </c>
      <c r="I60" s="3" t="s">
        <v>194</v>
      </c>
      <c r="J60" s="4">
        <v>0.51</v>
      </c>
      <c r="K60" s="3" t="s">
        <v>122</v>
      </c>
      <c r="L60" s="3" t="s">
        <v>127</v>
      </c>
      <c r="M60" s="4">
        <f t="shared" si="6"/>
        <v>-9.35</v>
      </c>
      <c r="N60" s="4">
        <f t="shared" si="7"/>
        <v>-10.88</v>
      </c>
    </row>
    <row r="61" spans="1:14" ht="15" x14ac:dyDescent="0.3">
      <c r="A61" s="3" t="s">
        <v>68</v>
      </c>
      <c r="B61" s="3" t="s">
        <v>111</v>
      </c>
      <c r="C61" s="3" t="s">
        <v>107</v>
      </c>
      <c r="D61" s="3" t="s">
        <v>107</v>
      </c>
      <c r="E61" s="3" t="s">
        <v>197</v>
      </c>
      <c r="F61" s="3" t="s">
        <v>96</v>
      </c>
      <c r="G61" s="4" t="s">
        <v>83</v>
      </c>
      <c r="H61" s="4">
        <v>-8.07</v>
      </c>
      <c r="I61" s="3" t="s">
        <v>194</v>
      </c>
      <c r="J61" s="4">
        <v>0.42</v>
      </c>
      <c r="K61" s="3" t="s">
        <v>122</v>
      </c>
      <c r="L61" s="3" t="s">
        <v>127</v>
      </c>
      <c r="M61" s="4">
        <f t="shared" si="6"/>
        <v>-9.33</v>
      </c>
      <c r="N61" s="4">
        <f t="shared" si="7"/>
        <v>-10.59</v>
      </c>
    </row>
    <row r="62" spans="1:14" ht="15" x14ac:dyDescent="0.3">
      <c r="A62" s="3" t="s">
        <v>68</v>
      </c>
      <c r="B62" s="3" t="s">
        <v>98</v>
      </c>
      <c r="C62" s="3" t="s">
        <v>198</v>
      </c>
      <c r="D62" s="3" t="s">
        <v>99</v>
      </c>
      <c r="E62" s="3" t="s">
        <v>125</v>
      </c>
      <c r="F62" s="3" t="s">
        <v>82</v>
      </c>
      <c r="G62" s="4" t="s">
        <v>83</v>
      </c>
      <c r="H62" s="4">
        <v>-8.23</v>
      </c>
      <c r="I62" s="3" t="s">
        <v>121</v>
      </c>
      <c r="J62" s="4">
        <v>0.49</v>
      </c>
      <c r="K62" s="3" t="s">
        <v>83</v>
      </c>
      <c r="L62" s="3" t="s">
        <v>127</v>
      </c>
      <c r="M62" s="4">
        <f t="shared" si="6"/>
        <v>-9.7000000000000011</v>
      </c>
      <c r="N62" s="4">
        <f t="shared" si="7"/>
        <v>-11.17</v>
      </c>
    </row>
    <row r="63" spans="1:14" ht="15" x14ac:dyDescent="0.3">
      <c r="A63" s="3" t="s">
        <v>68</v>
      </c>
      <c r="B63" s="3" t="s">
        <v>98</v>
      </c>
      <c r="C63" s="3" t="s">
        <v>198</v>
      </c>
      <c r="D63" s="3" t="s">
        <v>99</v>
      </c>
      <c r="E63" s="3" t="s">
        <v>106</v>
      </c>
      <c r="F63" s="3" t="s">
        <v>106</v>
      </c>
      <c r="G63" s="4" t="s">
        <v>83</v>
      </c>
      <c r="H63" s="4">
        <v>-8.06</v>
      </c>
      <c r="I63" s="3" t="s">
        <v>121</v>
      </c>
      <c r="J63" s="4">
        <v>0.45</v>
      </c>
      <c r="K63" s="3" t="s">
        <v>83</v>
      </c>
      <c r="L63" s="3" t="s">
        <v>127</v>
      </c>
      <c r="M63" s="4">
        <f t="shared" si="6"/>
        <v>-9.41</v>
      </c>
      <c r="N63" s="4">
        <f t="shared" si="7"/>
        <v>-10.760000000000002</v>
      </c>
    </row>
    <row r="64" spans="1:14" ht="15" x14ac:dyDescent="0.3">
      <c r="A64" s="3" t="s">
        <v>68</v>
      </c>
      <c r="B64" s="3" t="s">
        <v>98</v>
      </c>
      <c r="C64" s="3" t="s">
        <v>198</v>
      </c>
      <c r="D64" s="3" t="s">
        <v>99</v>
      </c>
      <c r="E64" s="3" t="s">
        <v>195</v>
      </c>
      <c r="F64" s="3" t="s">
        <v>91</v>
      </c>
      <c r="G64" s="4" t="s">
        <v>83</v>
      </c>
      <c r="H64" s="4">
        <v>-7.94</v>
      </c>
      <c r="I64" s="3" t="s">
        <v>121</v>
      </c>
      <c r="J64" s="4">
        <v>0.41</v>
      </c>
      <c r="K64" s="3" t="s">
        <v>83</v>
      </c>
      <c r="L64" s="3" t="s">
        <v>127</v>
      </c>
      <c r="M64" s="4">
        <f t="shared" si="6"/>
        <v>-9.17</v>
      </c>
      <c r="N64" s="4">
        <f t="shared" si="7"/>
        <v>-10.4</v>
      </c>
    </row>
    <row r="65" spans="1:14" ht="15" x14ac:dyDescent="0.3">
      <c r="A65" s="3" t="s">
        <v>68</v>
      </c>
      <c r="B65" s="3" t="s">
        <v>98</v>
      </c>
      <c r="C65" s="3" t="s">
        <v>198</v>
      </c>
      <c r="D65" s="3" t="s">
        <v>99</v>
      </c>
      <c r="E65" s="3" t="s">
        <v>197</v>
      </c>
      <c r="F65" s="3" t="s">
        <v>96</v>
      </c>
      <c r="G65" s="4" t="s">
        <v>83</v>
      </c>
      <c r="H65" s="4">
        <v>-7.94</v>
      </c>
      <c r="I65" s="3" t="s">
        <v>121</v>
      </c>
      <c r="J65" s="4">
        <v>0.46</v>
      </c>
      <c r="K65" s="3" t="s">
        <v>83</v>
      </c>
      <c r="L65" s="3" t="s">
        <v>127</v>
      </c>
      <c r="M65" s="4">
        <f t="shared" si="6"/>
        <v>-9.32</v>
      </c>
      <c r="N65" s="4">
        <f t="shared" si="7"/>
        <v>-10.700000000000001</v>
      </c>
    </row>
    <row r="66" spans="1:14" ht="15" x14ac:dyDescent="0.3">
      <c r="A66" s="3" t="s">
        <v>68</v>
      </c>
      <c r="B66" s="3" t="s">
        <v>98</v>
      </c>
      <c r="C66" s="3" t="s">
        <v>198</v>
      </c>
      <c r="D66" s="3" t="s">
        <v>99</v>
      </c>
      <c r="E66" s="3" t="s">
        <v>198</v>
      </c>
      <c r="F66" s="3" t="s">
        <v>99</v>
      </c>
      <c r="G66" s="4" t="s">
        <v>83</v>
      </c>
      <c r="H66" s="4">
        <v>-8.0399999999999991</v>
      </c>
      <c r="I66" s="3" t="s">
        <v>121</v>
      </c>
      <c r="J66" s="4">
        <v>0.45</v>
      </c>
      <c r="K66" s="3" t="s">
        <v>83</v>
      </c>
      <c r="L66" s="3" t="s">
        <v>127</v>
      </c>
      <c r="M66" s="4">
        <f t="shared" si="6"/>
        <v>-9.3899999999999988</v>
      </c>
      <c r="N66" s="4">
        <f t="shared" si="7"/>
        <v>-10.739999999999998</v>
      </c>
    </row>
    <row r="67" spans="1:14" ht="15" x14ac:dyDescent="0.3">
      <c r="A67" s="3" t="s">
        <v>68</v>
      </c>
      <c r="B67" s="3" t="s">
        <v>98</v>
      </c>
      <c r="C67" s="3" t="s">
        <v>198</v>
      </c>
      <c r="D67" s="3" t="s">
        <v>99</v>
      </c>
      <c r="E67" s="3" t="s">
        <v>199</v>
      </c>
      <c r="F67" s="3" t="s">
        <v>93</v>
      </c>
      <c r="G67" s="4" t="s">
        <v>83</v>
      </c>
      <c r="H67" s="4">
        <v>-7.88</v>
      </c>
      <c r="I67" s="3" t="s">
        <v>121</v>
      </c>
      <c r="J67" s="4">
        <v>0.44</v>
      </c>
      <c r="K67" s="3" t="s">
        <v>83</v>
      </c>
      <c r="L67" s="3" t="s">
        <v>127</v>
      </c>
      <c r="M67" s="4">
        <f t="shared" si="6"/>
        <v>-9.1999999999999993</v>
      </c>
      <c r="N67" s="4">
        <f t="shared" si="7"/>
        <v>-10.52</v>
      </c>
    </row>
    <row r="68" spans="1:14" ht="15" x14ac:dyDescent="0.3">
      <c r="A68" s="3" t="s">
        <v>69</v>
      </c>
      <c r="B68" s="3" t="s">
        <v>101</v>
      </c>
      <c r="C68" s="3" t="s">
        <v>198</v>
      </c>
      <c r="D68" s="3" t="s">
        <v>99</v>
      </c>
      <c r="E68" s="3" t="s">
        <v>125</v>
      </c>
      <c r="F68" s="3" t="s">
        <v>82</v>
      </c>
      <c r="G68" s="4" t="s">
        <v>83</v>
      </c>
      <c r="H68" s="4">
        <v>-8.327</v>
      </c>
      <c r="I68" s="3" t="s">
        <v>122</v>
      </c>
      <c r="J68" s="4">
        <v>0.4466</v>
      </c>
      <c r="K68" s="3" t="s">
        <v>200</v>
      </c>
      <c r="L68" s="3" t="s">
        <v>127</v>
      </c>
      <c r="M68" s="4">
        <f t="shared" si="6"/>
        <v>-9.6668000000000003</v>
      </c>
      <c r="N68" s="4">
        <f t="shared" si="7"/>
        <v>-11.006599999999999</v>
      </c>
    </row>
    <row r="69" spans="1:14" ht="15" x14ac:dyDescent="0.3">
      <c r="A69" s="3" t="s">
        <v>69</v>
      </c>
      <c r="B69" s="3" t="s">
        <v>201</v>
      </c>
      <c r="C69" s="3" t="s">
        <v>198</v>
      </c>
      <c r="D69" s="3" t="s">
        <v>99</v>
      </c>
      <c r="E69" s="3" t="s">
        <v>83</v>
      </c>
      <c r="F69" s="3" t="s">
        <v>83</v>
      </c>
      <c r="G69" s="4" t="s">
        <v>83</v>
      </c>
      <c r="H69" s="4">
        <v>-8.391</v>
      </c>
      <c r="I69" s="3" t="s">
        <v>83</v>
      </c>
      <c r="J69" s="4">
        <v>0.47370000000000001</v>
      </c>
      <c r="K69" s="3" t="s">
        <v>202</v>
      </c>
      <c r="L69" s="8" t="s">
        <v>48</v>
      </c>
      <c r="M69" s="4">
        <f t="shared" si="6"/>
        <v>-9.8121000000000009</v>
      </c>
      <c r="N69" s="4">
        <f t="shared" si="7"/>
        <v>-11.2332</v>
      </c>
    </row>
    <row r="70" spans="1:14" ht="15" x14ac:dyDescent="0.3">
      <c r="A70" s="3" t="s">
        <v>70</v>
      </c>
      <c r="B70" s="3" t="s">
        <v>111</v>
      </c>
      <c r="C70" s="3" t="s">
        <v>179</v>
      </c>
      <c r="D70" s="3" t="s">
        <v>107</v>
      </c>
      <c r="E70" s="3" t="s">
        <v>83</v>
      </c>
      <c r="F70" s="3" t="s">
        <v>83</v>
      </c>
      <c r="G70" s="4" t="s">
        <v>83</v>
      </c>
      <c r="H70" s="4">
        <v>-7.3951262294473654</v>
      </c>
      <c r="I70" s="3" t="s">
        <v>121</v>
      </c>
      <c r="J70" s="4">
        <v>0.56599999999999995</v>
      </c>
      <c r="K70" s="3" t="s">
        <v>180</v>
      </c>
      <c r="L70" s="8" t="s">
        <v>48</v>
      </c>
      <c r="M70" s="4">
        <f t="shared" si="6"/>
        <v>-9.0931262294473658</v>
      </c>
      <c r="N70" s="4">
        <f t="shared" si="7"/>
        <v>-10.791126229447364</v>
      </c>
    </row>
    <row r="71" spans="1:14" ht="15" x14ac:dyDescent="0.3">
      <c r="A71" s="3" t="s">
        <v>70</v>
      </c>
      <c r="B71" s="3" t="s">
        <v>111</v>
      </c>
      <c r="C71" s="3" t="s">
        <v>181</v>
      </c>
      <c r="D71" s="3" t="s">
        <v>100</v>
      </c>
      <c r="E71" s="3" t="s">
        <v>83</v>
      </c>
      <c r="F71" s="3" t="s">
        <v>83</v>
      </c>
      <c r="G71" s="4" t="s">
        <v>83</v>
      </c>
      <c r="H71" s="4">
        <v>-7.270673190353139</v>
      </c>
      <c r="I71" s="3" t="s">
        <v>121</v>
      </c>
      <c r="J71" s="4">
        <v>0.59199999999999997</v>
      </c>
      <c r="K71" s="3" t="s">
        <v>180</v>
      </c>
      <c r="L71" s="8" t="s">
        <v>48</v>
      </c>
      <c r="M71" s="4">
        <f t="shared" si="6"/>
        <v>-9.0466731903531397</v>
      </c>
      <c r="N71" s="4">
        <f t="shared" si="7"/>
        <v>-10.822673190353139</v>
      </c>
    </row>
    <row r="72" spans="1:14" ht="15" x14ac:dyDescent="0.3">
      <c r="A72" s="3" t="s">
        <v>71</v>
      </c>
      <c r="B72" s="3" t="s">
        <v>84</v>
      </c>
      <c r="C72" s="3" t="s">
        <v>187</v>
      </c>
      <c r="D72" s="3" t="s">
        <v>100</v>
      </c>
      <c r="E72" s="3" t="s">
        <v>203</v>
      </c>
      <c r="F72" s="3" t="s">
        <v>110</v>
      </c>
      <c r="G72" s="4" t="s">
        <v>83</v>
      </c>
      <c r="H72" s="4">
        <v>-8.11</v>
      </c>
      <c r="I72" s="3" t="s">
        <v>122</v>
      </c>
      <c r="J72" s="4">
        <v>0.43</v>
      </c>
      <c r="K72" s="3" t="s">
        <v>122</v>
      </c>
      <c r="L72" s="3" t="s">
        <v>127</v>
      </c>
      <c r="M72" s="4">
        <f t="shared" si="6"/>
        <v>-9.3999999999999986</v>
      </c>
      <c r="N72" s="4">
        <f t="shared" si="7"/>
        <v>-10.69</v>
      </c>
    </row>
    <row r="73" spans="1:14" ht="15" x14ac:dyDescent="0.3">
      <c r="A73" s="3" t="s">
        <v>71</v>
      </c>
      <c r="B73" s="3" t="s">
        <v>84</v>
      </c>
      <c r="C73" s="3" t="s">
        <v>187</v>
      </c>
      <c r="D73" s="3" t="s">
        <v>100</v>
      </c>
      <c r="E73" s="3" t="s">
        <v>204</v>
      </c>
      <c r="F73" s="3" t="s">
        <v>88</v>
      </c>
      <c r="G73" s="4" t="s">
        <v>83</v>
      </c>
      <c r="H73" s="4">
        <v>-7.91</v>
      </c>
      <c r="I73" s="3" t="s">
        <v>122</v>
      </c>
      <c r="J73" s="4">
        <v>0.48</v>
      </c>
      <c r="K73" s="3" t="s">
        <v>122</v>
      </c>
      <c r="L73" s="3" t="s">
        <v>127</v>
      </c>
      <c r="M73" s="4">
        <f t="shared" si="6"/>
        <v>-9.35</v>
      </c>
      <c r="N73" s="4">
        <f t="shared" si="7"/>
        <v>-10.79</v>
      </c>
    </row>
    <row r="74" spans="1:14" ht="15" x14ac:dyDescent="0.3">
      <c r="A74" s="3" t="s">
        <v>71</v>
      </c>
      <c r="B74" s="3" t="s">
        <v>84</v>
      </c>
      <c r="C74" s="3" t="s">
        <v>187</v>
      </c>
      <c r="D74" s="3" t="s">
        <v>100</v>
      </c>
      <c r="E74" s="3" t="s">
        <v>205</v>
      </c>
      <c r="F74" s="3" t="s">
        <v>91</v>
      </c>
      <c r="G74" s="4" t="s">
        <v>83</v>
      </c>
      <c r="H74" s="4">
        <v>-7.74</v>
      </c>
      <c r="I74" s="3" t="s">
        <v>122</v>
      </c>
      <c r="J74" s="4">
        <v>0.44</v>
      </c>
      <c r="K74" s="3" t="s">
        <v>122</v>
      </c>
      <c r="L74" s="3" t="s">
        <v>127</v>
      </c>
      <c r="M74" s="4">
        <f t="shared" si="6"/>
        <v>-9.06</v>
      </c>
      <c r="N74" s="4">
        <f t="shared" si="7"/>
        <v>-10.38</v>
      </c>
    </row>
    <row r="75" spans="1:14" ht="15" x14ac:dyDescent="0.3">
      <c r="A75" s="3" t="s">
        <v>71</v>
      </c>
      <c r="B75" s="3" t="s">
        <v>84</v>
      </c>
      <c r="C75" s="3" t="s">
        <v>187</v>
      </c>
      <c r="D75" s="3" t="s">
        <v>100</v>
      </c>
      <c r="E75" s="3" t="s">
        <v>144</v>
      </c>
      <c r="F75" s="3" t="s">
        <v>96</v>
      </c>
      <c r="G75" s="4" t="s">
        <v>83</v>
      </c>
      <c r="H75" s="4">
        <v>-8.02</v>
      </c>
      <c r="I75" s="3" t="s">
        <v>122</v>
      </c>
      <c r="J75" s="4">
        <v>0.43</v>
      </c>
      <c r="K75" s="3" t="s">
        <v>122</v>
      </c>
      <c r="L75" s="3" t="s">
        <v>127</v>
      </c>
      <c r="M75" s="4">
        <f t="shared" si="6"/>
        <v>-9.3099999999999987</v>
      </c>
      <c r="N75" s="4">
        <f t="shared" si="7"/>
        <v>-10.6</v>
      </c>
    </row>
    <row r="76" spans="1:14" ht="15" x14ac:dyDescent="0.3">
      <c r="A76" s="3" t="s">
        <v>71</v>
      </c>
      <c r="B76" s="3" t="s">
        <v>84</v>
      </c>
      <c r="C76" s="3" t="s">
        <v>187</v>
      </c>
      <c r="D76" s="3" t="s">
        <v>100</v>
      </c>
      <c r="E76" s="3" t="s">
        <v>206</v>
      </c>
      <c r="F76" s="3" t="s">
        <v>120</v>
      </c>
      <c r="G76" s="4" t="s">
        <v>83</v>
      </c>
      <c r="H76" s="4">
        <v>-8.27</v>
      </c>
      <c r="I76" s="3" t="s">
        <v>122</v>
      </c>
      <c r="J76" s="4">
        <v>0.45</v>
      </c>
      <c r="K76" s="3" t="s">
        <v>122</v>
      </c>
      <c r="L76" s="8" t="s">
        <v>48</v>
      </c>
      <c r="M76" s="4">
        <f t="shared" si="6"/>
        <v>-9.6199999999999992</v>
      </c>
      <c r="N76" s="4">
        <f t="shared" si="7"/>
        <v>-10.969999999999999</v>
      </c>
    </row>
    <row r="77" spans="1:14" ht="15" x14ac:dyDescent="0.3">
      <c r="A77" s="3" t="s">
        <v>71</v>
      </c>
      <c r="B77" s="3" t="s">
        <v>98</v>
      </c>
      <c r="C77" s="3" t="s">
        <v>95</v>
      </c>
      <c r="D77" s="3" t="s">
        <v>95</v>
      </c>
      <c r="E77" s="3" t="s">
        <v>204</v>
      </c>
      <c r="F77" s="3" t="s">
        <v>88</v>
      </c>
      <c r="G77" s="4" t="s">
        <v>83</v>
      </c>
      <c r="H77" s="4">
        <v>-7.83</v>
      </c>
      <c r="I77" s="3" t="s">
        <v>122</v>
      </c>
      <c r="J77" s="4">
        <v>0.51</v>
      </c>
      <c r="K77" s="3" t="s">
        <v>122</v>
      </c>
      <c r="L77" s="3" t="s">
        <v>127</v>
      </c>
      <c r="M77" s="4">
        <f t="shared" si="6"/>
        <v>-9.36</v>
      </c>
      <c r="N77" s="4">
        <f t="shared" si="7"/>
        <v>-10.89</v>
      </c>
    </row>
    <row r="78" spans="1:14" ht="15" x14ac:dyDescent="0.3">
      <c r="A78" s="3" t="s">
        <v>71</v>
      </c>
      <c r="B78" s="3" t="s">
        <v>98</v>
      </c>
      <c r="C78" s="3" t="s">
        <v>95</v>
      </c>
      <c r="D78" s="3" t="s">
        <v>95</v>
      </c>
      <c r="E78" s="3" t="s">
        <v>205</v>
      </c>
      <c r="F78" s="3" t="s">
        <v>91</v>
      </c>
      <c r="G78" s="4" t="s">
        <v>83</v>
      </c>
      <c r="H78" s="4">
        <v>-7.56</v>
      </c>
      <c r="I78" s="3" t="s">
        <v>122</v>
      </c>
      <c r="J78" s="4">
        <v>0.5</v>
      </c>
      <c r="K78" s="3" t="s">
        <v>122</v>
      </c>
      <c r="L78" s="3" t="s">
        <v>127</v>
      </c>
      <c r="M78" s="4">
        <f t="shared" si="6"/>
        <v>-9.0599999999999987</v>
      </c>
      <c r="N78" s="4">
        <f t="shared" si="7"/>
        <v>-10.559999999999999</v>
      </c>
    </row>
    <row r="79" spans="1:14" ht="15" x14ac:dyDescent="0.3">
      <c r="A79" s="3" t="s">
        <v>71</v>
      </c>
      <c r="B79" s="3" t="s">
        <v>98</v>
      </c>
      <c r="C79" s="3" t="s">
        <v>207</v>
      </c>
      <c r="D79" s="3" t="s">
        <v>120</v>
      </c>
      <c r="E79" s="3" t="s">
        <v>208</v>
      </c>
      <c r="F79" s="3" t="s">
        <v>184</v>
      </c>
      <c r="G79" s="4" t="s">
        <v>83</v>
      </c>
      <c r="H79" s="4">
        <v>-7.86</v>
      </c>
      <c r="I79" s="3" t="s">
        <v>122</v>
      </c>
      <c r="J79" s="4">
        <v>0.5</v>
      </c>
      <c r="K79" s="3" t="s">
        <v>122</v>
      </c>
      <c r="L79" s="8" t="s">
        <v>49</v>
      </c>
      <c r="M79" s="4">
        <f t="shared" si="6"/>
        <v>-9.36</v>
      </c>
      <c r="N79" s="4">
        <f t="shared" si="7"/>
        <v>-10.86</v>
      </c>
    </row>
    <row r="80" spans="1:14" ht="15" x14ac:dyDescent="0.3">
      <c r="A80" s="3" t="s">
        <v>71</v>
      </c>
      <c r="B80" s="3" t="s">
        <v>98</v>
      </c>
      <c r="C80" s="3" t="s">
        <v>95</v>
      </c>
      <c r="D80" s="3" t="s">
        <v>95</v>
      </c>
      <c r="E80" s="3" t="s">
        <v>206</v>
      </c>
      <c r="F80" s="3" t="s">
        <v>120</v>
      </c>
      <c r="G80" s="4" t="s">
        <v>83</v>
      </c>
      <c r="H80" s="4">
        <v>-8.0500000000000007</v>
      </c>
      <c r="I80" s="3" t="s">
        <v>122</v>
      </c>
      <c r="J80" s="4">
        <v>0.51</v>
      </c>
      <c r="K80" s="3" t="s">
        <v>122</v>
      </c>
      <c r="L80" s="8" t="s">
        <v>48</v>
      </c>
      <c r="M80" s="4">
        <f t="shared" si="6"/>
        <v>-9.58</v>
      </c>
      <c r="N80" s="4">
        <f t="shared" si="7"/>
        <v>-11.110000000000001</v>
      </c>
    </row>
    <row r="81" spans="1:14" ht="15" x14ac:dyDescent="0.3">
      <c r="A81" s="3" t="s">
        <v>71</v>
      </c>
      <c r="B81" s="3" t="s">
        <v>101</v>
      </c>
      <c r="C81" s="3" t="s">
        <v>209</v>
      </c>
      <c r="D81" s="3" t="s">
        <v>97</v>
      </c>
      <c r="E81" s="3" t="s">
        <v>210</v>
      </c>
      <c r="F81" s="3" t="s">
        <v>104</v>
      </c>
      <c r="G81" s="4" t="s">
        <v>83</v>
      </c>
      <c r="H81" s="4">
        <v>-8.31</v>
      </c>
      <c r="I81" s="3" t="s">
        <v>122</v>
      </c>
      <c r="J81" s="4">
        <v>0.47</v>
      </c>
      <c r="K81" s="3" t="s">
        <v>122</v>
      </c>
      <c r="L81" s="3" t="s">
        <v>127</v>
      </c>
      <c r="M81" s="4">
        <f t="shared" si="6"/>
        <v>-9.7200000000000006</v>
      </c>
      <c r="N81" s="4">
        <f t="shared" si="7"/>
        <v>-11.13</v>
      </c>
    </row>
    <row r="82" spans="1:14" ht="15" x14ac:dyDescent="0.3">
      <c r="A82" s="3" t="s">
        <v>71</v>
      </c>
      <c r="B82" s="3" t="s">
        <v>101</v>
      </c>
      <c r="C82" s="3" t="s">
        <v>209</v>
      </c>
      <c r="D82" s="3" t="s">
        <v>97</v>
      </c>
      <c r="E82" s="3" t="s">
        <v>205</v>
      </c>
      <c r="F82" s="3" t="s">
        <v>91</v>
      </c>
      <c r="G82" s="4" t="s">
        <v>83</v>
      </c>
      <c r="H82" s="4">
        <v>-8.01</v>
      </c>
      <c r="I82" s="3" t="s">
        <v>122</v>
      </c>
      <c r="J82" s="4">
        <v>0.39</v>
      </c>
      <c r="K82" s="3" t="s">
        <v>122</v>
      </c>
      <c r="L82" s="3" t="s">
        <v>127</v>
      </c>
      <c r="M82" s="4">
        <f t="shared" si="6"/>
        <v>-9.18</v>
      </c>
      <c r="N82" s="4">
        <f t="shared" si="7"/>
        <v>-10.35</v>
      </c>
    </row>
    <row r="83" spans="1:14" ht="15" x14ac:dyDescent="0.3">
      <c r="A83" s="3" t="s">
        <v>71</v>
      </c>
      <c r="B83" s="3" t="s">
        <v>101</v>
      </c>
      <c r="C83" s="3" t="s">
        <v>209</v>
      </c>
      <c r="D83" s="3" t="s">
        <v>97</v>
      </c>
      <c r="E83" s="3" t="s">
        <v>206</v>
      </c>
      <c r="F83" s="3" t="s">
        <v>120</v>
      </c>
      <c r="G83" s="4" t="s">
        <v>83</v>
      </c>
      <c r="H83" s="4">
        <v>-8.39</v>
      </c>
      <c r="I83" s="3" t="s">
        <v>122</v>
      </c>
      <c r="J83" s="4">
        <v>0.43</v>
      </c>
      <c r="K83" s="3" t="s">
        <v>122</v>
      </c>
      <c r="L83" s="8" t="s">
        <v>48</v>
      </c>
      <c r="M83" s="4">
        <f t="shared" ref="M83:M104" si="8">H83-J83*3</f>
        <v>-9.68</v>
      </c>
      <c r="N83" s="4">
        <f t="shared" ref="N83:N104" si="9">H83-J83*6</f>
        <v>-10.97</v>
      </c>
    </row>
    <row r="84" spans="1:14" ht="15" x14ac:dyDescent="0.3">
      <c r="A84" s="3" t="s">
        <v>72</v>
      </c>
      <c r="B84" s="3" t="s">
        <v>84</v>
      </c>
      <c r="C84" s="3" t="s">
        <v>179</v>
      </c>
      <c r="D84" s="3" t="s">
        <v>107</v>
      </c>
      <c r="E84" s="3" t="s">
        <v>197</v>
      </c>
      <c r="F84" s="3" t="s">
        <v>96</v>
      </c>
      <c r="G84" s="4" t="s">
        <v>83</v>
      </c>
      <c r="H84" s="4">
        <v>-7.6558396739845511</v>
      </c>
      <c r="I84" s="3" t="s">
        <v>211</v>
      </c>
      <c r="J84" s="4">
        <v>0.51936099999999996</v>
      </c>
      <c r="K84" s="3" t="s">
        <v>122</v>
      </c>
      <c r="L84" s="3" t="s">
        <v>127</v>
      </c>
      <c r="M84" s="4">
        <f t="shared" si="8"/>
        <v>-9.2139226739845519</v>
      </c>
      <c r="N84" s="4">
        <f t="shared" si="9"/>
        <v>-10.772005673984552</v>
      </c>
    </row>
    <row r="85" spans="1:14" ht="15" x14ac:dyDescent="0.3">
      <c r="A85" s="3" t="s">
        <v>72</v>
      </c>
      <c r="B85" s="3" t="s">
        <v>84</v>
      </c>
      <c r="C85" s="3" t="s">
        <v>179</v>
      </c>
      <c r="D85" s="3" t="s">
        <v>107</v>
      </c>
      <c r="E85" s="3" t="s">
        <v>139</v>
      </c>
      <c r="F85" s="3" t="s">
        <v>92</v>
      </c>
      <c r="G85" s="4" t="s">
        <v>83</v>
      </c>
      <c r="H85" s="4">
        <v>-7.6302221506898293</v>
      </c>
      <c r="I85" s="3" t="s">
        <v>211</v>
      </c>
      <c r="J85" s="4">
        <v>0.53467699999999996</v>
      </c>
      <c r="K85" s="3" t="s">
        <v>122</v>
      </c>
      <c r="L85" s="3" t="s">
        <v>127</v>
      </c>
      <c r="M85" s="4">
        <f t="shared" si="8"/>
        <v>-9.2342531506898293</v>
      </c>
      <c r="N85" s="4">
        <f t="shared" si="9"/>
        <v>-10.83828415068983</v>
      </c>
    </row>
    <row r="86" spans="1:14" ht="15" x14ac:dyDescent="0.3">
      <c r="A86" s="3" t="s">
        <v>72</v>
      </c>
      <c r="B86" s="3" t="s">
        <v>84</v>
      </c>
      <c r="C86" s="3" t="s">
        <v>179</v>
      </c>
      <c r="D86" s="3" t="s">
        <v>107</v>
      </c>
      <c r="E86" s="3" t="s">
        <v>212</v>
      </c>
      <c r="F86" s="3" t="s">
        <v>88</v>
      </c>
      <c r="G86" s="4" t="s">
        <v>83</v>
      </c>
      <c r="H86" s="4">
        <v>-7.718505297869414</v>
      </c>
      <c r="I86" s="3" t="s">
        <v>211</v>
      </c>
      <c r="J86" s="4">
        <v>0.52829999999999999</v>
      </c>
      <c r="K86" s="3" t="s">
        <v>122</v>
      </c>
      <c r="L86" s="3" t="s">
        <v>127</v>
      </c>
      <c r="M86" s="4">
        <f t="shared" si="8"/>
        <v>-9.3034052978694142</v>
      </c>
      <c r="N86" s="4">
        <f t="shared" si="9"/>
        <v>-10.888305297869413</v>
      </c>
    </row>
    <row r="87" spans="1:14" ht="15" x14ac:dyDescent="0.3">
      <c r="A87" s="3" t="s">
        <v>72</v>
      </c>
      <c r="B87" s="3" t="s">
        <v>84</v>
      </c>
      <c r="C87" s="3" t="s">
        <v>179</v>
      </c>
      <c r="D87" s="3" t="s">
        <v>107</v>
      </c>
      <c r="E87" s="3" t="s">
        <v>196</v>
      </c>
      <c r="F87" s="3" t="s">
        <v>110</v>
      </c>
      <c r="G87" s="4" t="s">
        <v>83</v>
      </c>
      <c r="H87" s="4">
        <v>-7.6700776226075584</v>
      </c>
      <c r="I87" s="3" t="s">
        <v>211</v>
      </c>
      <c r="J87" s="4">
        <v>0.53106500000000001</v>
      </c>
      <c r="K87" s="3" t="s">
        <v>122</v>
      </c>
      <c r="L87" s="3" t="s">
        <v>127</v>
      </c>
      <c r="M87" s="4">
        <f t="shared" si="8"/>
        <v>-9.263272622607559</v>
      </c>
      <c r="N87" s="4">
        <f t="shared" si="9"/>
        <v>-10.856467622607559</v>
      </c>
    </row>
    <row r="88" spans="1:14" ht="15" x14ac:dyDescent="0.3">
      <c r="A88" s="3" t="s">
        <v>72</v>
      </c>
      <c r="B88" s="3" t="s">
        <v>84</v>
      </c>
      <c r="C88" s="3" t="s">
        <v>179</v>
      </c>
      <c r="D88" s="3" t="s">
        <v>107</v>
      </c>
      <c r="E88" s="3" t="s">
        <v>213</v>
      </c>
      <c r="F88" s="3" t="s">
        <v>94</v>
      </c>
      <c r="G88" s="4" t="s">
        <v>83</v>
      </c>
      <c r="H88" s="4">
        <v>-7.5616665425054803</v>
      </c>
      <c r="I88" s="3" t="s">
        <v>211</v>
      </c>
      <c r="J88" s="4">
        <v>0.52145300000000006</v>
      </c>
      <c r="K88" s="3" t="s">
        <v>122</v>
      </c>
      <c r="L88" s="3" t="s">
        <v>127</v>
      </c>
      <c r="M88" s="4">
        <f t="shared" si="8"/>
        <v>-9.1260255425054808</v>
      </c>
      <c r="N88" s="4">
        <f t="shared" si="9"/>
        <v>-10.69038454250548</v>
      </c>
    </row>
    <row r="89" spans="1:14" ht="15" x14ac:dyDescent="0.3">
      <c r="A89" s="3" t="s">
        <v>72</v>
      </c>
      <c r="B89" s="3" t="s">
        <v>84</v>
      </c>
      <c r="C89" s="3" t="s">
        <v>179</v>
      </c>
      <c r="D89" s="3" t="s">
        <v>107</v>
      </c>
      <c r="E89" s="3" t="s">
        <v>195</v>
      </c>
      <c r="F89" s="3" t="s">
        <v>91</v>
      </c>
      <c r="G89" s="4" t="s">
        <v>83</v>
      </c>
      <c r="H89" s="4">
        <v>-7.6791477801682451</v>
      </c>
      <c r="I89" s="3" t="s">
        <v>211</v>
      </c>
      <c r="J89" s="4">
        <v>0.45208900000000002</v>
      </c>
      <c r="K89" s="3" t="s">
        <v>122</v>
      </c>
      <c r="L89" s="3" t="s">
        <v>127</v>
      </c>
      <c r="M89" s="4">
        <f t="shared" si="8"/>
        <v>-9.0354147801682458</v>
      </c>
      <c r="N89" s="4">
        <f t="shared" si="9"/>
        <v>-10.391681780168245</v>
      </c>
    </row>
    <row r="90" spans="1:14" ht="15" x14ac:dyDescent="0.3">
      <c r="A90" s="3" t="s">
        <v>72</v>
      </c>
      <c r="B90" s="3" t="s">
        <v>84</v>
      </c>
      <c r="C90" s="3" t="s">
        <v>214</v>
      </c>
      <c r="D90" s="3" t="s">
        <v>99</v>
      </c>
      <c r="E90" s="3" t="s">
        <v>215</v>
      </c>
      <c r="F90" s="3" t="s">
        <v>106</v>
      </c>
      <c r="G90" s="4" t="s">
        <v>83</v>
      </c>
      <c r="H90" s="4">
        <v>-7.8436174510277894</v>
      </c>
      <c r="I90" s="3" t="s">
        <v>211</v>
      </c>
      <c r="J90" s="4">
        <v>0.50410500000000003</v>
      </c>
      <c r="K90" s="3" t="s">
        <v>122</v>
      </c>
      <c r="L90" s="3" t="s">
        <v>127</v>
      </c>
      <c r="M90" s="4">
        <f t="shared" si="8"/>
        <v>-9.3559324510277904</v>
      </c>
      <c r="N90" s="4">
        <f t="shared" si="9"/>
        <v>-10.86824745102779</v>
      </c>
    </row>
    <row r="91" spans="1:14" ht="15" x14ac:dyDescent="0.3">
      <c r="A91" s="3" t="s">
        <v>72</v>
      </c>
      <c r="B91" s="3" t="s">
        <v>84</v>
      </c>
      <c r="C91" s="3" t="s">
        <v>214</v>
      </c>
      <c r="D91" s="3" t="s">
        <v>99</v>
      </c>
      <c r="E91" s="3" t="s">
        <v>125</v>
      </c>
      <c r="F91" s="3" t="s">
        <v>82</v>
      </c>
      <c r="G91" s="4" t="s">
        <v>83</v>
      </c>
      <c r="H91" s="4">
        <v>-8.1011777710179267</v>
      </c>
      <c r="I91" s="3" t="s">
        <v>211</v>
      </c>
      <c r="J91" s="4">
        <v>0.51215500000000003</v>
      </c>
      <c r="K91" s="3" t="s">
        <v>122</v>
      </c>
      <c r="L91" s="3" t="s">
        <v>127</v>
      </c>
      <c r="M91" s="4">
        <f t="shared" si="8"/>
        <v>-9.6376427710179264</v>
      </c>
      <c r="N91" s="4">
        <f t="shared" si="9"/>
        <v>-11.174107771017926</v>
      </c>
    </row>
    <row r="92" spans="1:14" ht="15" x14ac:dyDescent="0.3">
      <c r="A92" s="3" t="s">
        <v>72</v>
      </c>
      <c r="B92" s="3" t="s">
        <v>84</v>
      </c>
      <c r="C92" s="3" t="s">
        <v>105</v>
      </c>
      <c r="D92" s="3" t="s">
        <v>105</v>
      </c>
      <c r="E92" s="3" t="s">
        <v>197</v>
      </c>
      <c r="F92" s="3" t="s">
        <v>96</v>
      </c>
      <c r="G92" s="4" t="s">
        <v>83</v>
      </c>
      <c r="H92" s="4">
        <v>-7.7338388877805988</v>
      </c>
      <c r="I92" s="3" t="s">
        <v>211</v>
      </c>
      <c r="J92" s="4">
        <v>0.51372499999999999</v>
      </c>
      <c r="K92" s="3" t="s">
        <v>122</v>
      </c>
      <c r="L92" s="3" t="s">
        <v>127</v>
      </c>
      <c r="M92" s="4">
        <f t="shared" si="8"/>
        <v>-9.2750138877805988</v>
      </c>
      <c r="N92" s="4">
        <f t="shared" si="9"/>
        <v>-10.816188887780598</v>
      </c>
    </row>
    <row r="93" spans="1:14" ht="15" x14ac:dyDescent="0.3">
      <c r="A93" s="3" t="s">
        <v>72</v>
      </c>
      <c r="B93" s="3" t="s">
        <v>84</v>
      </c>
      <c r="C93" s="3" t="s">
        <v>214</v>
      </c>
      <c r="D93" s="3" t="s">
        <v>99</v>
      </c>
      <c r="E93" s="3" t="s">
        <v>216</v>
      </c>
      <c r="F93" s="3" t="s">
        <v>93</v>
      </c>
      <c r="G93" s="4" t="s">
        <v>83</v>
      </c>
      <c r="H93" s="4">
        <v>-7.590203777049215</v>
      </c>
      <c r="I93" s="3" t="s">
        <v>211</v>
      </c>
      <c r="J93" s="4">
        <v>0.51585300000000001</v>
      </c>
      <c r="K93" s="3" t="s">
        <v>122</v>
      </c>
      <c r="L93" s="3" t="s">
        <v>127</v>
      </c>
      <c r="M93" s="4">
        <f t="shared" si="8"/>
        <v>-9.1377627770492147</v>
      </c>
      <c r="N93" s="4">
        <f t="shared" si="9"/>
        <v>-10.685321777049214</v>
      </c>
    </row>
    <row r="94" spans="1:14" ht="15" x14ac:dyDescent="0.3">
      <c r="A94" s="3" t="s">
        <v>72</v>
      </c>
      <c r="B94" s="3" t="s">
        <v>84</v>
      </c>
      <c r="C94" s="3" t="s">
        <v>214</v>
      </c>
      <c r="D94" s="3" t="s">
        <v>99</v>
      </c>
      <c r="E94" s="3" t="s">
        <v>195</v>
      </c>
      <c r="F94" s="3" t="s">
        <v>91</v>
      </c>
      <c r="G94" s="4" t="s">
        <v>83</v>
      </c>
      <c r="H94" s="4">
        <v>-7.673502333065918</v>
      </c>
      <c r="I94" s="3" t="s">
        <v>211</v>
      </c>
      <c r="J94" s="4">
        <v>0.47447699999999998</v>
      </c>
      <c r="K94" s="3" t="s">
        <v>122</v>
      </c>
      <c r="L94" s="3" t="s">
        <v>127</v>
      </c>
      <c r="M94" s="4">
        <f t="shared" si="8"/>
        <v>-9.0969333330659179</v>
      </c>
      <c r="N94" s="4">
        <f t="shared" si="9"/>
        <v>-10.520364333065917</v>
      </c>
    </row>
    <row r="95" spans="1:14" ht="15" x14ac:dyDescent="0.3">
      <c r="A95" s="3" t="s">
        <v>72</v>
      </c>
      <c r="B95" s="3" t="s">
        <v>84</v>
      </c>
      <c r="C95" s="3" t="s">
        <v>181</v>
      </c>
      <c r="D95" s="3" t="s">
        <v>100</v>
      </c>
      <c r="E95" s="3" t="s">
        <v>197</v>
      </c>
      <c r="F95" s="3" t="s">
        <v>96</v>
      </c>
      <c r="G95" s="4" t="s">
        <v>83</v>
      </c>
      <c r="H95" s="4">
        <v>-7.6146547389538801</v>
      </c>
      <c r="I95" s="3" t="s">
        <v>211</v>
      </c>
      <c r="J95" s="4">
        <v>0.51760799999999996</v>
      </c>
      <c r="K95" s="3" t="s">
        <v>122</v>
      </c>
      <c r="L95" s="3" t="s">
        <v>127</v>
      </c>
      <c r="M95" s="4">
        <f t="shared" si="8"/>
        <v>-9.1674787389538803</v>
      </c>
      <c r="N95" s="4">
        <f t="shared" si="9"/>
        <v>-10.72030273895388</v>
      </c>
    </row>
    <row r="96" spans="1:14" ht="15" x14ac:dyDescent="0.3">
      <c r="A96" s="3" t="s">
        <v>72</v>
      </c>
      <c r="B96" s="3" t="s">
        <v>84</v>
      </c>
      <c r="C96" s="3" t="s">
        <v>181</v>
      </c>
      <c r="D96" s="3" t="s">
        <v>100</v>
      </c>
      <c r="E96" s="3" t="s">
        <v>139</v>
      </c>
      <c r="F96" s="3" t="s">
        <v>92</v>
      </c>
      <c r="G96" s="4" t="s">
        <v>83</v>
      </c>
      <c r="H96" s="4">
        <v>-7.5798510912237651</v>
      </c>
      <c r="I96" s="3" t="s">
        <v>211</v>
      </c>
      <c r="J96" s="4">
        <v>0.54321900000000001</v>
      </c>
      <c r="K96" s="3" t="s">
        <v>122</v>
      </c>
      <c r="L96" s="3" t="s">
        <v>127</v>
      </c>
      <c r="M96" s="4">
        <f t="shared" si="8"/>
        <v>-9.2095080912237641</v>
      </c>
      <c r="N96" s="4">
        <f t="shared" si="9"/>
        <v>-10.839165091223766</v>
      </c>
    </row>
    <row r="97" spans="1:14" ht="15" x14ac:dyDescent="0.3">
      <c r="A97" s="3" t="s">
        <v>72</v>
      </c>
      <c r="B97" s="3" t="s">
        <v>84</v>
      </c>
      <c r="C97" s="3" t="s">
        <v>181</v>
      </c>
      <c r="D97" s="3" t="s">
        <v>100</v>
      </c>
      <c r="E97" s="3" t="s">
        <v>212</v>
      </c>
      <c r="F97" s="3" t="s">
        <v>88</v>
      </c>
      <c r="G97" s="4" t="s">
        <v>83</v>
      </c>
      <c r="H97" s="4">
        <v>-7.683956229316216</v>
      </c>
      <c r="I97" s="3" t="s">
        <v>211</v>
      </c>
      <c r="J97" s="4">
        <v>0.53039400000000003</v>
      </c>
      <c r="K97" s="3" t="s">
        <v>122</v>
      </c>
      <c r="L97" s="3" t="s">
        <v>127</v>
      </c>
      <c r="M97" s="4">
        <f t="shared" si="8"/>
        <v>-9.2751382293162159</v>
      </c>
      <c r="N97" s="4">
        <f t="shared" si="9"/>
        <v>-10.866320229316216</v>
      </c>
    </row>
    <row r="98" spans="1:14" ht="15" x14ac:dyDescent="0.3">
      <c r="A98" s="3" t="s">
        <v>72</v>
      </c>
      <c r="B98" s="3" t="s">
        <v>84</v>
      </c>
      <c r="C98" s="3" t="s">
        <v>181</v>
      </c>
      <c r="D98" s="3" t="s">
        <v>100</v>
      </c>
      <c r="E98" s="3" t="s">
        <v>213</v>
      </c>
      <c r="F98" s="3" t="s">
        <v>94</v>
      </c>
      <c r="G98" s="4" t="s">
        <v>83</v>
      </c>
      <c r="H98" s="4">
        <v>-7.4896788968190702</v>
      </c>
      <c r="I98" s="3" t="s">
        <v>211</v>
      </c>
      <c r="J98" s="4">
        <v>0.53678000000000003</v>
      </c>
      <c r="K98" s="3" t="s">
        <v>122</v>
      </c>
      <c r="L98" s="3" t="s">
        <v>127</v>
      </c>
      <c r="M98" s="4">
        <f t="shared" si="8"/>
        <v>-9.1000188968190709</v>
      </c>
      <c r="N98" s="4">
        <f t="shared" si="9"/>
        <v>-10.71035889681907</v>
      </c>
    </row>
    <row r="99" spans="1:14" ht="15" x14ac:dyDescent="0.3">
      <c r="A99" s="3" t="s">
        <v>72</v>
      </c>
      <c r="B99" s="3" t="s">
        <v>84</v>
      </c>
      <c r="C99" s="3" t="s">
        <v>181</v>
      </c>
      <c r="D99" s="3" t="s">
        <v>100</v>
      </c>
      <c r="E99" s="3" t="s">
        <v>217</v>
      </c>
      <c r="F99" s="3" t="s">
        <v>103</v>
      </c>
      <c r="G99" s="4" t="s">
        <v>83</v>
      </c>
      <c r="H99" s="4">
        <v>-8.505773029599105</v>
      </c>
      <c r="I99" s="3" t="s">
        <v>211</v>
      </c>
      <c r="J99" s="4">
        <v>0.44423600000000002</v>
      </c>
      <c r="K99" s="3" t="s">
        <v>122</v>
      </c>
      <c r="L99" s="3" t="s">
        <v>127</v>
      </c>
      <c r="M99" s="4">
        <f t="shared" si="8"/>
        <v>-9.8384810295991052</v>
      </c>
      <c r="N99" s="4">
        <f t="shared" si="9"/>
        <v>-11.171189029599105</v>
      </c>
    </row>
    <row r="100" spans="1:14" ht="15" x14ac:dyDescent="0.3">
      <c r="A100" s="3" t="s">
        <v>73</v>
      </c>
      <c r="B100" s="3" t="s">
        <v>201</v>
      </c>
      <c r="C100" s="3" t="s">
        <v>218</v>
      </c>
      <c r="D100" s="3" t="s">
        <v>120</v>
      </c>
      <c r="E100" s="3" t="s">
        <v>197</v>
      </c>
      <c r="F100" s="3" t="s">
        <v>96</v>
      </c>
      <c r="G100" s="4" t="s">
        <v>83</v>
      </c>
      <c r="H100" s="4">
        <v>-7.7215207769536773</v>
      </c>
      <c r="I100" s="3" t="s">
        <v>121</v>
      </c>
      <c r="J100" s="4">
        <v>0.50087000000000004</v>
      </c>
      <c r="K100" s="3" t="s">
        <v>122</v>
      </c>
      <c r="L100" s="8" t="s">
        <v>49</v>
      </c>
      <c r="M100" s="4">
        <f t="shared" si="8"/>
        <v>-9.2241307769536771</v>
      </c>
      <c r="N100" s="4">
        <f t="shared" si="9"/>
        <v>-10.726740776953678</v>
      </c>
    </row>
    <row r="101" spans="1:14" ht="15" x14ac:dyDescent="0.3">
      <c r="A101" s="3" t="s">
        <v>73</v>
      </c>
      <c r="B101" s="3" t="s">
        <v>201</v>
      </c>
      <c r="C101" s="3" t="s">
        <v>218</v>
      </c>
      <c r="D101" s="3" t="s">
        <v>120</v>
      </c>
      <c r="E101" s="3" t="s">
        <v>219</v>
      </c>
      <c r="F101" s="3" t="s">
        <v>88</v>
      </c>
      <c r="G101" s="4" t="s">
        <v>83</v>
      </c>
      <c r="H101" s="4">
        <v>-7.8063189704587188</v>
      </c>
      <c r="I101" s="3" t="s">
        <v>121</v>
      </c>
      <c r="J101" s="4">
        <v>0.46350000000000002</v>
      </c>
      <c r="K101" s="3" t="s">
        <v>122</v>
      </c>
      <c r="L101" s="8" t="s">
        <v>49</v>
      </c>
      <c r="M101" s="4">
        <f t="shared" si="8"/>
        <v>-9.1968189704587182</v>
      </c>
      <c r="N101" s="4">
        <f t="shared" si="9"/>
        <v>-10.587318970458719</v>
      </c>
    </row>
    <row r="102" spans="1:14" ht="15" x14ac:dyDescent="0.3">
      <c r="A102" s="3" t="s">
        <v>73</v>
      </c>
      <c r="B102" s="3" t="s">
        <v>201</v>
      </c>
      <c r="C102" s="3" t="s">
        <v>218</v>
      </c>
      <c r="D102" s="3" t="s">
        <v>120</v>
      </c>
      <c r="E102" s="3" t="s">
        <v>188</v>
      </c>
      <c r="F102" s="3" t="s">
        <v>92</v>
      </c>
      <c r="G102" s="4" t="s">
        <v>83</v>
      </c>
      <c r="H102" s="4">
        <v>-7.8147695838324376</v>
      </c>
      <c r="I102" s="3" t="s">
        <v>121</v>
      </c>
      <c r="J102" s="4">
        <v>0.48370000000000002</v>
      </c>
      <c r="K102" s="3" t="s">
        <v>122</v>
      </c>
      <c r="L102" s="8" t="s">
        <v>49</v>
      </c>
      <c r="M102" s="4">
        <f t="shared" si="8"/>
        <v>-9.265869583832437</v>
      </c>
      <c r="N102" s="4">
        <f t="shared" si="9"/>
        <v>-10.716969583832437</v>
      </c>
    </row>
    <row r="103" spans="1:14" ht="15" x14ac:dyDescent="0.3">
      <c r="A103" s="3" t="s">
        <v>73</v>
      </c>
      <c r="B103" s="3" t="s">
        <v>201</v>
      </c>
      <c r="C103" s="3" t="s">
        <v>218</v>
      </c>
      <c r="D103" s="3" t="s">
        <v>120</v>
      </c>
      <c r="E103" s="3" t="s">
        <v>220</v>
      </c>
      <c r="F103" s="3" t="s">
        <v>94</v>
      </c>
      <c r="G103" s="4" t="s">
        <v>83</v>
      </c>
      <c r="H103" s="4">
        <v>-7.6675009450818212</v>
      </c>
      <c r="I103" s="3" t="s">
        <v>121</v>
      </c>
      <c r="J103" s="4">
        <v>0.50649999999999995</v>
      </c>
      <c r="K103" s="3" t="s">
        <v>122</v>
      </c>
      <c r="L103" s="8" t="s">
        <v>49</v>
      </c>
      <c r="M103" s="4">
        <f t="shared" si="8"/>
        <v>-9.1870009450818202</v>
      </c>
      <c r="N103" s="4">
        <f t="shared" si="9"/>
        <v>-10.706500945081821</v>
      </c>
    </row>
    <row r="104" spans="1:14" ht="15" x14ac:dyDescent="0.3">
      <c r="A104" s="3" t="s">
        <v>73</v>
      </c>
      <c r="B104" s="3" t="s">
        <v>201</v>
      </c>
      <c r="C104" s="3" t="s">
        <v>218</v>
      </c>
      <c r="D104" s="3" t="s">
        <v>120</v>
      </c>
      <c r="E104" s="3" t="s">
        <v>221</v>
      </c>
      <c r="F104" s="3" t="s">
        <v>110</v>
      </c>
      <c r="G104" s="4" t="s">
        <v>83</v>
      </c>
      <c r="H104" s="4">
        <v>-7.7449205575724243</v>
      </c>
      <c r="I104" s="3" t="s">
        <v>121</v>
      </c>
      <c r="J104" s="4">
        <v>0.61983999999999995</v>
      </c>
      <c r="K104" s="3" t="s">
        <v>122</v>
      </c>
      <c r="L104" s="8" t="s">
        <v>49</v>
      </c>
      <c r="M104" s="4">
        <f t="shared" si="8"/>
        <v>-9.6044405575724241</v>
      </c>
      <c r="N104" s="4">
        <f t="shared" si="9"/>
        <v>-11.463960557572424</v>
      </c>
    </row>
    <row r="105" spans="1:14" ht="15" x14ac:dyDescent="0.3">
      <c r="A105" s="3" t="s">
        <v>73</v>
      </c>
      <c r="B105" s="3" t="s">
        <v>201</v>
      </c>
      <c r="C105" s="3" t="s">
        <v>218</v>
      </c>
      <c r="D105" s="3" t="s">
        <v>120</v>
      </c>
      <c r="E105" s="3" t="s">
        <v>222</v>
      </c>
      <c r="F105" s="3" t="s">
        <v>103</v>
      </c>
      <c r="G105" s="4" t="s">
        <v>83</v>
      </c>
      <c r="H105" s="4">
        <v>-7.9949482500060043</v>
      </c>
      <c r="I105" s="3" t="s">
        <v>121</v>
      </c>
      <c r="J105" s="4" t="s">
        <v>83</v>
      </c>
      <c r="K105" s="3" t="s">
        <v>122</v>
      </c>
      <c r="L105" s="7" t="s">
        <v>223</v>
      </c>
      <c r="M105" s="9"/>
      <c r="N105" s="9"/>
    </row>
    <row r="106" spans="1:14" ht="15" x14ac:dyDescent="0.3">
      <c r="A106" s="3" t="s">
        <v>73</v>
      </c>
      <c r="B106" s="3" t="s">
        <v>201</v>
      </c>
      <c r="C106" s="3" t="s">
        <v>218</v>
      </c>
      <c r="D106" s="3" t="s">
        <v>120</v>
      </c>
      <c r="E106" s="3" t="s">
        <v>224</v>
      </c>
      <c r="F106" s="3" t="s">
        <v>225</v>
      </c>
      <c r="G106" s="4" t="s">
        <v>83</v>
      </c>
      <c r="H106" s="4">
        <v>-7.7207438226614933</v>
      </c>
      <c r="I106" s="3" t="s">
        <v>121</v>
      </c>
      <c r="J106" s="4">
        <v>0.58897999999999995</v>
      </c>
      <c r="K106" s="3" t="s">
        <v>122</v>
      </c>
      <c r="L106" s="8" t="s">
        <v>49</v>
      </c>
      <c r="M106" s="4">
        <f t="shared" ref="M106:M137" si="10">H106-J106*3</f>
        <v>-9.4876838226614932</v>
      </c>
      <c r="N106" s="4">
        <f t="shared" ref="N106:N137" si="11">H106-J106*6</f>
        <v>-11.254623822661493</v>
      </c>
    </row>
    <row r="107" spans="1:14" ht="15" x14ac:dyDescent="0.3">
      <c r="A107" s="3" t="s">
        <v>73</v>
      </c>
      <c r="B107" s="3" t="s">
        <v>201</v>
      </c>
      <c r="C107" s="3" t="s">
        <v>226</v>
      </c>
      <c r="D107" s="3" t="s">
        <v>120</v>
      </c>
      <c r="E107" s="3" t="s">
        <v>197</v>
      </c>
      <c r="F107" s="3" t="s">
        <v>96</v>
      </c>
      <c r="G107" s="4" t="s">
        <v>83</v>
      </c>
      <c r="H107" s="4">
        <v>-7.4632774655175833</v>
      </c>
      <c r="I107" s="3" t="s">
        <v>121</v>
      </c>
      <c r="J107" s="4">
        <v>0.61287000000000003</v>
      </c>
      <c r="K107" s="3" t="s">
        <v>122</v>
      </c>
      <c r="L107" s="8" t="s">
        <v>49</v>
      </c>
      <c r="M107" s="4">
        <f t="shared" si="10"/>
        <v>-9.3018874655175843</v>
      </c>
      <c r="N107" s="4">
        <f t="shared" si="11"/>
        <v>-11.140497465517583</v>
      </c>
    </row>
    <row r="108" spans="1:14" ht="15" x14ac:dyDescent="0.3">
      <c r="A108" s="3" t="s">
        <v>73</v>
      </c>
      <c r="B108" s="3" t="s">
        <v>201</v>
      </c>
      <c r="C108" s="3" t="s">
        <v>226</v>
      </c>
      <c r="D108" s="3" t="s">
        <v>120</v>
      </c>
      <c r="E108" s="3" t="s">
        <v>219</v>
      </c>
      <c r="F108" s="3" t="s">
        <v>88</v>
      </c>
      <c r="G108" s="4" t="s">
        <v>83</v>
      </c>
      <c r="H108" s="4">
        <v>-7.4484890098941827</v>
      </c>
      <c r="I108" s="3" t="s">
        <v>121</v>
      </c>
      <c r="J108" s="4">
        <v>0.62975000000000003</v>
      </c>
      <c r="K108" s="3" t="s">
        <v>122</v>
      </c>
      <c r="L108" s="8" t="s">
        <v>49</v>
      </c>
      <c r="M108" s="4">
        <f t="shared" si="10"/>
        <v>-9.3377390098941824</v>
      </c>
      <c r="N108" s="4">
        <f t="shared" si="11"/>
        <v>-11.226989009894183</v>
      </c>
    </row>
    <row r="109" spans="1:14" ht="15" x14ac:dyDescent="0.3">
      <c r="A109" s="3" t="s">
        <v>73</v>
      </c>
      <c r="B109" s="3" t="s">
        <v>201</v>
      </c>
      <c r="C109" s="3" t="s">
        <v>226</v>
      </c>
      <c r="D109" s="3" t="s">
        <v>120</v>
      </c>
      <c r="E109" s="3" t="s">
        <v>188</v>
      </c>
      <c r="F109" s="3" t="s">
        <v>92</v>
      </c>
      <c r="G109" s="4" t="s">
        <v>83</v>
      </c>
      <c r="H109" s="4">
        <v>-7.5710395354245863</v>
      </c>
      <c r="I109" s="3" t="s">
        <v>121</v>
      </c>
      <c r="J109" s="4">
        <v>0.57938000000000001</v>
      </c>
      <c r="K109" s="3" t="s">
        <v>122</v>
      </c>
      <c r="L109" s="8" t="s">
        <v>49</v>
      </c>
      <c r="M109" s="4">
        <f t="shared" si="10"/>
        <v>-9.3091795354245868</v>
      </c>
      <c r="N109" s="4">
        <f t="shared" si="11"/>
        <v>-11.047319535424586</v>
      </c>
    </row>
    <row r="110" spans="1:14" ht="15" x14ac:dyDescent="0.3">
      <c r="A110" s="3" t="s">
        <v>73</v>
      </c>
      <c r="B110" s="3" t="s">
        <v>201</v>
      </c>
      <c r="C110" s="3" t="s">
        <v>226</v>
      </c>
      <c r="D110" s="3" t="s">
        <v>120</v>
      </c>
      <c r="E110" s="3" t="s">
        <v>220</v>
      </c>
      <c r="F110" s="3" t="s">
        <v>94</v>
      </c>
      <c r="G110" s="4" t="s">
        <v>83</v>
      </c>
      <c r="H110" s="4">
        <v>-7.4785742261044232</v>
      </c>
      <c r="I110" s="3" t="s">
        <v>121</v>
      </c>
      <c r="J110" s="4">
        <v>0.56925999999999999</v>
      </c>
      <c r="K110" s="3" t="s">
        <v>122</v>
      </c>
      <c r="L110" s="8" t="s">
        <v>49</v>
      </c>
      <c r="M110" s="4">
        <f t="shared" si="10"/>
        <v>-9.1863542261044238</v>
      </c>
      <c r="N110" s="4">
        <f t="shared" si="11"/>
        <v>-10.894134226104423</v>
      </c>
    </row>
    <row r="111" spans="1:14" ht="15" x14ac:dyDescent="0.3">
      <c r="A111" s="3" t="s">
        <v>73</v>
      </c>
      <c r="B111" s="3" t="s">
        <v>201</v>
      </c>
      <c r="C111" s="3" t="s">
        <v>226</v>
      </c>
      <c r="D111" s="3" t="s">
        <v>120</v>
      </c>
      <c r="E111" s="3" t="s">
        <v>221</v>
      </c>
      <c r="F111" s="3" t="s">
        <v>110</v>
      </c>
      <c r="G111" s="4" t="s">
        <v>83</v>
      </c>
      <c r="H111" s="4">
        <v>-7.5036793442250493</v>
      </c>
      <c r="I111" s="3" t="s">
        <v>121</v>
      </c>
      <c r="J111" s="4">
        <v>0.61902000000000001</v>
      </c>
      <c r="K111" s="3" t="s">
        <v>122</v>
      </c>
      <c r="L111" s="8" t="s">
        <v>49</v>
      </c>
      <c r="M111" s="4">
        <f t="shared" si="10"/>
        <v>-9.3607393442250491</v>
      </c>
      <c r="N111" s="4">
        <f t="shared" si="11"/>
        <v>-11.21779934422505</v>
      </c>
    </row>
    <row r="112" spans="1:14" ht="15" x14ac:dyDescent="0.3">
      <c r="A112" s="3" t="s">
        <v>73</v>
      </c>
      <c r="B112" s="3" t="s">
        <v>201</v>
      </c>
      <c r="C112" s="3" t="s">
        <v>226</v>
      </c>
      <c r="D112" s="3" t="s">
        <v>120</v>
      </c>
      <c r="E112" s="3" t="s">
        <v>222</v>
      </c>
      <c r="F112" s="3" t="s">
        <v>103</v>
      </c>
      <c r="G112" s="4" t="s">
        <v>83</v>
      </c>
      <c r="H112" s="4">
        <v>-7.7524194937661637</v>
      </c>
      <c r="I112" s="3" t="s">
        <v>121</v>
      </c>
      <c r="J112" s="4">
        <v>0.72055000000000002</v>
      </c>
      <c r="K112" s="3" t="s">
        <v>122</v>
      </c>
      <c r="L112" s="7" t="s">
        <v>227</v>
      </c>
      <c r="M112" s="4">
        <f t="shared" si="10"/>
        <v>-9.9140694937661635</v>
      </c>
      <c r="N112" s="4">
        <f t="shared" si="11"/>
        <v>-12.075719493766163</v>
      </c>
    </row>
    <row r="113" spans="1:14" ht="15" x14ac:dyDescent="0.3">
      <c r="A113" s="3" t="s">
        <v>73</v>
      </c>
      <c r="B113" s="3" t="s">
        <v>201</v>
      </c>
      <c r="C113" s="3" t="s">
        <v>228</v>
      </c>
      <c r="D113" s="3" t="s">
        <v>120</v>
      </c>
      <c r="E113" s="3" t="s">
        <v>197</v>
      </c>
      <c r="F113" s="3" t="s">
        <v>96</v>
      </c>
      <c r="G113" s="4" t="s">
        <v>83</v>
      </c>
      <c r="H113" s="4">
        <v>-7.0517973854110103</v>
      </c>
      <c r="I113" s="3" t="s">
        <v>121</v>
      </c>
      <c r="J113" s="4">
        <v>0.78012999999999999</v>
      </c>
      <c r="K113" s="3" t="s">
        <v>122</v>
      </c>
      <c r="L113" s="8" t="s">
        <v>49</v>
      </c>
      <c r="M113" s="4">
        <f t="shared" si="10"/>
        <v>-9.3921873854110096</v>
      </c>
      <c r="N113" s="4">
        <f t="shared" si="11"/>
        <v>-11.732577385411011</v>
      </c>
    </row>
    <row r="114" spans="1:14" ht="15" x14ac:dyDescent="0.3">
      <c r="A114" s="3" t="s">
        <v>73</v>
      </c>
      <c r="B114" s="3" t="s">
        <v>201</v>
      </c>
      <c r="C114" s="3" t="s">
        <v>229</v>
      </c>
      <c r="D114" s="3" t="s">
        <v>120</v>
      </c>
      <c r="E114" s="3" t="s">
        <v>219</v>
      </c>
      <c r="F114" s="3" t="s">
        <v>88</v>
      </c>
      <c r="G114" s="4" t="s">
        <v>83</v>
      </c>
      <c r="H114" s="4">
        <v>-7.1191635507163928</v>
      </c>
      <c r="I114" s="3" t="s">
        <v>121</v>
      </c>
      <c r="J114" s="4">
        <v>0.76497000000000004</v>
      </c>
      <c r="K114" s="3" t="s">
        <v>122</v>
      </c>
      <c r="L114" s="8" t="s">
        <v>49</v>
      </c>
      <c r="M114" s="4">
        <f t="shared" si="10"/>
        <v>-9.4140735507163935</v>
      </c>
      <c r="N114" s="4">
        <f t="shared" si="11"/>
        <v>-11.708983550716393</v>
      </c>
    </row>
    <row r="115" spans="1:14" ht="15" x14ac:dyDescent="0.3">
      <c r="A115" s="3" t="s">
        <v>73</v>
      </c>
      <c r="B115" s="3" t="s">
        <v>201</v>
      </c>
      <c r="C115" s="3" t="s">
        <v>229</v>
      </c>
      <c r="D115" s="3" t="s">
        <v>120</v>
      </c>
      <c r="E115" s="3" t="s">
        <v>188</v>
      </c>
      <c r="F115" s="3" t="s">
        <v>92</v>
      </c>
      <c r="G115" s="4" t="s">
        <v>83</v>
      </c>
      <c r="H115" s="4">
        <v>-7.4445790460249999</v>
      </c>
      <c r="I115" s="3" t="s">
        <v>121</v>
      </c>
      <c r="J115" s="4">
        <v>0.61563000000000001</v>
      </c>
      <c r="K115" s="3" t="s">
        <v>122</v>
      </c>
      <c r="L115" s="8" t="s">
        <v>49</v>
      </c>
      <c r="M115" s="4">
        <f t="shared" si="10"/>
        <v>-9.291469046025</v>
      </c>
      <c r="N115" s="4">
        <f t="shared" si="11"/>
        <v>-11.138359046025</v>
      </c>
    </row>
    <row r="116" spans="1:14" ht="15" x14ac:dyDescent="0.3">
      <c r="A116" s="3" t="s">
        <v>73</v>
      </c>
      <c r="B116" s="3" t="s">
        <v>201</v>
      </c>
      <c r="C116" s="3" t="s">
        <v>229</v>
      </c>
      <c r="D116" s="3" t="s">
        <v>120</v>
      </c>
      <c r="E116" s="3" t="s">
        <v>220</v>
      </c>
      <c r="F116" s="3" t="s">
        <v>94</v>
      </c>
      <c r="G116" s="4" t="s">
        <v>83</v>
      </c>
      <c r="H116" s="4">
        <v>-7.2858127927249337</v>
      </c>
      <c r="I116" s="3" t="s">
        <v>121</v>
      </c>
      <c r="J116" s="4">
        <v>0.63314000000000004</v>
      </c>
      <c r="K116" s="3" t="s">
        <v>122</v>
      </c>
      <c r="L116" s="8" t="s">
        <v>49</v>
      </c>
      <c r="M116" s="4">
        <f t="shared" si="10"/>
        <v>-9.1852327927249338</v>
      </c>
      <c r="N116" s="4">
        <f t="shared" si="11"/>
        <v>-11.084652792724935</v>
      </c>
    </row>
    <row r="117" spans="1:14" ht="15" x14ac:dyDescent="0.3">
      <c r="A117" s="3" t="s">
        <v>73</v>
      </c>
      <c r="B117" s="3" t="s">
        <v>201</v>
      </c>
      <c r="C117" s="3" t="s">
        <v>229</v>
      </c>
      <c r="D117" s="3" t="s">
        <v>120</v>
      </c>
      <c r="E117" s="3" t="s">
        <v>221</v>
      </c>
      <c r="F117" s="3" t="s">
        <v>110</v>
      </c>
      <c r="G117" s="4" t="s">
        <v>83</v>
      </c>
      <c r="H117" s="4">
        <v>-7.0085789787083073</v>
      </c>
      <c r="I117" s="3" t="s">
        <v>121</v>
      </c>
      <c r="J117" s="4">
        <v>0.82350000000000001</v>
      </c>
      <c r="K117" s="3" t="s">
        <v>122</v>
      </c>
      <c r="L117" s="8" t="s">
        <v>49</v>
      </c>
      <c r="M117" s="4">
        <f t="shared" si="10"/>
        <v>-9.4790789787083067</v>
      </c>
      <c r="N117" s="4">
        <f t="shared" si="11"/>
        <v>-11.949578978708306</v>
      </c>
    </row>
    <row r="118" spans="1:14" ht="15" x14ac:dyDescent="0.3">
      <c r="A118" s="3" t="s">
        <v>73</v>
      </c>
      <c r="B118" s="3" t="s">
        <v>201</v>
      </c>
      <c r="C118" s="3" t="s">
        <v>229</v>
      </c>
      <c r="D118" s="3" t="s">
        <v>120</v>
      </c>
      <c r="E118" s="3" t="s">
        <v>222</v>
      </c>
      <c r="F118" s="3" t="s">
        <v>103</v>
      </c>
      <c r="G118" s="4" t="s">
        <v>83</v>
      </c>
      <c r="H118" s="4">
        <v>-7.3371949649618333</v>
      </c>
      <c r="I118" s="3" t="s">
        <v>121</v>
      </c>
      <c r="J118" s="4">
        <v>0.89593999999999996</v>
      </c>
      <c r="K118" s="3" t="s">
        <v>122</v>
      </c>
      <c r="L118" s="7" t="s">
        <v>227</v>
      </c>
      <c r="M118" s="4">
        <f t="shared" si="10"/>
        <v>-10.025014964961834</v>
      </c>
      <c r="N118" s="4">
        <f t="shared" si="11"/>
        <v>-12.712834964961832</v>
      </c>
    </row>
    <row r="119" spans="1:14" ht="15" x14ac:dyDescent="0.3">
      <c r="A119" s="3" t="s">
        <v>73</v>
      </c>
      <c r="B119" s="3" t="s">
        <v>201</v>
      </c>
      <c r="C119" s="3" t="s">
        <v>229</v>
      </c>
      <c r="D119" s="3" t="s">
        <v>120</v>
      </c>
      <c r="E119" s="3" t="s">
        <v>224</v>
      </c>
      <c r="F119" s="3" t="s">
        <v>225</v>
      </c>
      <c r="G119" s="4" t="s">
        <v>83</v>
      </c>
      <c r="H119" s="4">
        <v>-6.5397939725425491</v>
      </c>
      <c r="I119" s="3" t="s">
        <v>121</v>
      </c>
      <c r="J119" s="4">
        <v>1.0642</v>
      </c>
      <c r="K119" s="3" t="s">
        <v>122</v>
      </c>
      <c r="L119" s="7" t="s">
        <v>230</v>
      </c>
      <c r="M119" s="4">
        <f t="shared" si="10"/>
        <v>-9.7323939725425497</v>
      </c>
      <c r="N119" s="4">
        <f t="shared" si="11"/>
        <v>-12.924993972542548</v>
      </c>
    </row>
    <row r="120" spans="1:14" ht="15" x14ac:dyDescent="0.3">
      <c r="A120" s="3" t="s">
        <v>73</v>
      </c>
      <c r="B120" s="3" t="s">
        <v>89</v>
      </c>
      <c r="C120" s="3" t="s">
        <v>179</v>
      </c>
      <c r="D120" s="3" t="s">
        <v>107</v>
      </c>
      <c r="E120" s="3" t="s">
        <v>197</v>
      </c>
      <c r="F120" s="3" t="s">
        <v>96</v>
      </c>
      <c r="G120" s="4" t="s">
        <v>83</v>
      </c>
      <c r="H120" s="4">
        <v>-7.4976275116883109</v>
      </c>
      <c r="I120" s="3" t="s">
        <v>121</v>
      </c>
      <c r="J120" s="4">
        <v>0.56040000000000001</v>
      </c>
      <c r="K120" s="3" t="s">
        <v>122</v>
      </c>
      <c r="L120" s="3" t="s">
        <v>127</v>
      </c>
      <c r="M120" s="4">
        <f t="shared" si="10"/>
        <v>-9.1788275116883113</v>
      </c>
      <c r="N120" s="4">
        <f t="shared" si="11"/>
        <v>-10.860027511688312</v>
      </c>
    </row>
    <row r="121" spans="1:14" ht="15" x14ac:dyDescent="0.3">
      <c r="A121" s="3" t="s">
        <v>73</v>
      </c>
      <c r="B121" s="3" t="s">
        <v>89</v>
      </c>
      <c r="C121" s="3" t="s">
        <v>179</v>
      </c>
      <c r="D121" s="3" t="s">
        <v>107</v>
      </c>
      <c r="E121" s="3" t="s">
        <v>219</v>
      </c>
      <c r="F121" s="3" t="s">
        <v>88</v>
      </c>
      <c r="G121" s="4" t="s">
        <v>83</v>
      </c>
      <c r="H121" s="4">
        <v>-7.5943975447906862</v>
      </c>
      <c r="I121" s="3" t="s">
        <v>121</v>
      </c>
      <c r="J121" s="4">
        <v>0.56040999999999996</v>
      </c>
      <c r="K121" s="3" t="s">
        <v>122</v>
      </c>
      <c r="L121" s="3" t="s">
        <v>127</v>
      </c>
      <c r="M121" s="4">
        <f t="shared" si="10"/>
        <v>-9.2756275447906855</v>
      </c>
      <c r="N121" s="4">
        <f t="shared" si="11"/>
        <v>-10.956857544790687</v>
      </c>
    </row>
    <row r="122" spans="1:14" ht="15" x14ac:dyDescent="0.3">
      <c r="A122" s="3" t="s">
        <v>73</v>
      </c>
      <c r="B122" s="3" t="s">
        <v>89</v>
      </c>
      <c r="C122" s="3" t="s">
        <v>179</v>
      </c>
      <c r="D122" s="3" t="s">
        <v>107</v>
      </c>
      <c r="E122" s="3" t="s">
        <v>188</v>
      </c>
      <c r="F122" s="3" t="s">
        <v>92</v>
      </c>
      <c r="G122" s="4" t="s">
        <v>83</v>
      </c>
      <c r="H122" s="4">
        <v>-7.5233712248176428</v>
      </c>
      <c r="I122" s="3" t="s">
        <v>121</v>
      </c>
      <c r="J122" s="4">
        <v>0.56238999999999995</v>
      </c>
      <c r="K122" s="3" t="s">
        <v>122</v>
      </c>
      <c r="L122" s="3" t="s">
        <v>127</v>
      </c>
      <c r="M122" s="4">
        <f t="shared" si="10"/>
        <v>-9.2105412248176428</v>
      </c>
      <c r="N122" s="4">
        <f t="shared" si="11"/>
        <v>-10.897711224817643</v>
      </c>
    </row>
    <row r="123" spans="1:14" ht="15" x14ac:dyDescent="0.3">
      <c r="A123" s="3" t="s">
        <v>73</v>
      </c>
      <c r="B123" s="3" t="s">
        <v>89</v>
      </c>
      <c r="C123" s="3" t="s">
        <v>179</v>
      </c>
      <c r="D123" s="3" t="s">
        <v>107</v>
      </c>
      <c r="E123" s="3" t="s">
        <v>220</v>
      </c>
      <c r="F123" s="3" t="s">
        <v>94</v>
      </c>
      <c r="G123" s="4" t="s">
        <v>83</v>
      </c>
      <c r="H123" s="4">
        <v>-7.4067139329795424</v>
      </c>
      <c r="I123" s="3" t="s">
        <v>121</v>
      </c>
      <c r="J123" s="4">
        <v>0.56162000000000001</v>
      </c>
      <c r="K123" s="3" t="s">
        <v>122</v>
      </c>
      <c r="L123" s="3" t="s">
        <v>127</v>
      </c>
      <c r="M123" s="4">
        <f t="shared" si="10"/>
        <v>-9.0915739329795429</v>
      </c>
      <c r="N123" s="4">
        <f t="shared" si="11"/>
        <v>-10.776433932979543</v>
      </c>
    </row>
    <row r="124" spans="1:14" ht="15" x14ac:dyDescent="0.3">
      <c r="A124" s="3" t="s">
        <v>73</v>
      </c>
      <c r="B124" s="3" t="s">
        <v>89</v>
      </c>
      <c r="C124" s="3" t="s">
        <v>179</v>
      </c>
      <c r="D124" s="3" t="s">
        <v>107</v>
      </c>
      <c r="E124" s="3" t="s">
        <v>231</v>
      </c>
      <c r="F124" s="3" t="s">
        <v>110</v>
      </c>
      <c r="G124" s="4" t="s">
        <v>83</v>
      </c>
      <c r="H124" s="4">
        <v>-7.6700735592045479</v>
      </c>
      <c r="I124" s="3" t="s">
        <v>121</v>
      </c>
      <c r="J124" s="4">
        <v>0.53105999999999998</v>
      </c>
      <c r="K124" s="3" t="s">
        <v>122</v>
      </c>
      <c r="L124" s="3" t="s">
        <v>127</v>
      </c>
      <c r="M124" s="4">
        <f t="shared" si="10"/>
        <v>-9.2632535592045482</v>
      </c>
      <c r="N124" s="4">
        <f t="shared" si="11"/>
        <v>-10.856433559204547</v>
      </c>
    </row>
    <row r="125" spans="1:14" ht="15" x14ac:dyDescent="0.3">
      <c r="A125" s="3" t="s">
        <v>73</v>
      </c>
      <c r="B125" s="3" t="s">
        <v>89</v>
      </c>
      <c r="C125" s="3" t="s">
        <v>179</v>
      </c>
      <c r="D125" s="3" t="s">
        <v>107</v>
      </c>
      <c r="E125" s="3" t="s">
        <v>232</v>
      </c>
      <c r="F125" s="3" t="s">
        <v>91</v>
      </c>
      <c r="G125" s="4" t="s">
        <v>83</v>
      </c>
      <c r="H125" s="4">
        <v>-7.6791477801682451</v>
      </c>
      <c r="I125" s="3" t="s">
        <v>121</v>
      </c>
      <c r="J125" s="4">
        <v>0.45208999999999999</v>
      </c>
      <c r="K125" s="3" t="s">
        <v>122</v>
      </c>
      <c r="L125" s="3" t="s">
        <v>127</v>
      </c>
      <c r="M125" s="4">
        <f t="shared" si="10"/>
        <v>-9.0354177801682454</v>
      </c>
      <c r="N125" s="4">
        <f t="shared" si="11"/>
        <v>-10.391687780168244</v>
      </c>
    </row>
    <row r="126" spans="1:14" ht="15" x14ac:dyDescent="0.3">
      <c r="A126" s="3" t="s">
        <v>73</v>
      </c>
      <c r="B126" s="3" t="s">
        <v>89</v>
      </c>
      <c r="C126" s="3" t="s">
        <v>181</v>
      </c>
      <c r="D126" s="3" t="s">
        <v>100</v>
      </c>
      <c r="E126" s="3" t="s">
        <v>197</v>
      </c>
      <c r="F126" s="3" t="s">
        <v>96</v>
      </c>
      <c r="G126" s="4" t="s">
        <v>83</v>
      </c>
      <c r="H126" s="4">
        <v>-7.4342347995478484</v>
      </c>
      <c r="I126" s="3" t="s">
        <v>121</v>
      </c>
      <c r="J126" s="4">
        <v>0.56240000000000001</v>
      </c>
      <c r="K126" s="3" t="s">
        <v>122</v>
      </c>
      <c r="L126" s="3" t="s">
        <v>127</v>
      </c>
      <c r="M126" s="4">
        <f t="shared" si="10"/>
        <v>-9.1214347995478491</v>
      </c>
      <c r="N126" s="4">
        <f t="shared" si="11"/>
        <v>-10.808634799547848</v>
      </c>
    </row>
    <row r="127" spans="1:14" ht="15" x14ac:dyDescent="0.3">
      <c r="A127" s="3" t="s">
        <v>73</v>
      </c>
      <c r="B127" s="3" t="s">
        <v>89</v>
      </c>
      <c r="C127" s="3" t="s">
        <v>181</v>
      </c>
      <c r="D127" s="3" t="s">
        <v>100</v>
      </c>
      <c r="E127" s="3" t="s">
        <v>219</v>
      </c>
      <c r="F127" s="3" t="s">
        <v>88</v>
      </c>
      <c r="G127" s="4" t="s">
        <v>83</v>
      </c>
      <c r="H127" s="4">
        <v>-7.5283563009586141</v>
      </c>
      <c r="I127" s="3" t="s">
        <v>121</v>
      </c>
      <c r="J127" s="4">
        <v>0.56913000000000002</v>
      </c>
      <c r="K127" s="3" t="s">
        <v>122</v>
      </c>
      <c r="L127" s="3" t="s">
        <v>127</v>
      </c>
      <c r="M127" s="4">
        <f t="shared" si="10"/>
        <v>-9.2357463009586134</v>
      </c>
      <c r="N127" s="4">
        <f t="shared" si="11"/>
        <v>-10.943136300958614</v>
      </c>
    </row>
    <row r="128" spans="1:14" ht="15" x14ac:dyDescent="0.3">
      <c r="A128" s="3" t="s">
        <v>73</v>
      </c>
      <c r="B128" s="3" t="s">
        <v>89</v>
      </c>
      <c r="C128" s="3" t="s">
        <v>181</v>
      </c>
      <c r="D128" s="3" t="s">
        <v>100</v>
      </c>
      <c r="E128" s="3" t="s">
        <v>188</v>
      </c>
      <c r="F128" s="3" t="s">
        <v>92</v>
      </c>
      <c r="G128" s="4" t="s">
        <v>83</v>
      </c>
      <c r="H128" s="4">
        <v>-7.4166198354129307</v>
      </c>
      <c r="I128" s="3" t="s">
        <v>121</v>
      </c>
      <c r="J128" s="4">
        <v>0.58372000000000002</v>
      </c>
      <c r="K128" s="3" t="s">
        <v>122</v>
      </c>
      <c r="L128" s="3" t="s">
        <v>127</v>
      </c>
      <c r="M128" s="4">
        <f t="shared" si="10"/>
        <v>-9.1677798354129312</v>
      </c>
      <c r="N128" s="4">
        <f t="shared" si="11"/>
        <v>-10.918939835412932</v>
      </c>
    </row>
    <row r="129" spans="1:14" ht="15" x14ac:dyDescent="0.3">
      <c r="A129" s="3" t="s">
        <v>73</v>
      </c>
      <c r="B129" s="3" t="s">
        <v>89</v>
      </c>
      <c r="C129" s="3" t="s">
        <v>181</v>
      </c>
      <c r="D129" s="3" t="s">
        <v>100</v>
      </c>
      <c r="E129" s="3" t="s">
        <v>220</v>
      </c>
      <c r="F129" s="3" t="s">
        <v>94</v>
      </c>
      <c r="G129" s="4" t="s">
        <v>83</v>
      </c>
      <c r="H129" s="4">
        <v>-7.2856870087051986</v>
      </c>
      <c r="I129" s="3" t="s">
        <v>121</v>
      </c>
      <c r="J129" s="4">
        <v>0.58735999999999999</v>
      </c>
      <c r="K129" s="3" t="s">
        <v>122</v>
      </c>
      <c r="L129" s="3" t="s">
        <v>127</v>
      </c>
      <c r="M129" s="4">
        <f t="shared" si="10"/>
        <v>-9.0477670087051987</v>
      </c>
      <c r="N129" s="4">
        <f t="shared" si="11"/>
        <v>-10.809847008705198</v>
      </c>
    </row>
    <row r="130" spans="1:14" ht="15" x14ac:dyDescent="0.3">
      <c r="A130" s="3" t="s">
        <v>73</v>
      </c>
      <c r="B130" s="3" t="s">
        <v>89</v>
      </c>
      <c r="C130" s="3" t="s">
        <v>181</v>
      </c>
      <c r="D130" s="3" t="s">
        <v>100</v>
      </c>
      <c r="E130" s="3" t="s">
        <v>222</v>
      </c>
      <c r="F130" s="3" t="s">
        <v>103</v>
      </c>
      <c r="G130" s="4" t="s">
        <v>83</v>
      </c>
      <c r="H130" s="4">
        <v>-8.5057758130830976</v>
      </c>
      <c r="I130" s="3" t="s">
        <v>121</v>
      </c>
      <c r="J130" s="4">
        <v>0.44424000000000002</v>
      </c>
      <c r="K130" s="3" t="s">
        <v>122</v>
      </c>
      <c r="L130" s="3" t="s">
        <v>127</v>
      </c>
      <c r="M130" s="4">
        <f t="shared" si="10"/>
        <v>-9.8384958130830977</v>
      </c>
      <c r="N130" s="4">
        <f t="shared" si="11"/>
        <v>-11.171215813083098</v>
      </c>
    </row>
    <row r="131" spans="1:14" ht="15" x14ac:dyDescent="0.3">
      <c r="A131" s="3" t="s">
        <v>73</v>
      </c>
      <c r="B131" s="3" t="s">
        <v>89</v>
      </c>
      <c r="C131" s="3" t="s">
        <v>182</v>
      </c>
      <c r="D131" s="3" t="s">
        <v>102</v>
      </c>
      <c r="E131" s="3" t="s">
        <v>197</v>
      </c>
      <c r="F131" s="3" t="s">
        <v>96</v>
      </c>
      <c r="G131" s="4" t="s">
        <v>83</v>
      </c>
      <c r="H131" s="4">
        <v>-7.3304971658956566</v>
      </c>
      <c r="I131" s="3" t="s">
        <v>121</v>
      </c>
      <c r="J131" s="4">
        <v>0.60811000000000004</v>
      </c>
      <c r="K131" s="3" t="s">
        <v>122</v>
      </c>
      <c r="L131" s="3" t="s">
        <v>127</v>
      </c>
      <c r="M131" s="4">
        <f t="shared" si="10"/>
        <v>-9.1548271658956573</v>
      </c>
      <c r="N131" s="4">
        <f t="shared" si="11"/>
        <v>-10.979157165895657</v>
      </c>
    </row>
    <row r="132" spans="1:14" ht="15" x14ac:dyDescent="0.3">
      <c r="A132" s="3" t="s">
        <v>73</v>
      </c>
      <c r="B132" s="3" t="s">
        <v>89</v>
      </c>
      <c r="C132" s="3" t="s">
        <v>182</v>
      </c>
      <c r="D132" s="3" t="s">
        <v>102</v>
      </c>
      <c r="E132" s="3" t="s">
        <v>219</v>
      </c>
      <c r="F132" s="3" t="s">
        <v>88</v>
      </c>
      <c r="G132" s="4" t="s">
        <v>83</v>
      </c>
      <c r="H132" s="4">
        <v>-7.3885847361771058</v>
      </c>
      <c r="I132" s="3" t="s">
        <v>121</v>
      </c>
      <c r="J132" s="4">
        <v>0.61614000000000002</v>
      </c>
      <c r="K132" s="3" t="s">
        <v>122</v>
      </c>
      <c r="L132" s="3" t="s">
        <v>127</v>
      </c>
      <c r="M132" s="4">
        <f t="shared" si="10"/>
        <v>-9.2370047361771057</v>
      </c>
      <c r="N132" s="4">
        <f t="shared" si="11"/>
        <v>-11.085424736177107</v>
      </c>
    </row>
    <row r="133" spans="1:14" ht="15" x14ac:dyDescent="0.3">
      <c r="A133" s="3" t="s">
        <v>73</v>
      </c>
      <c r="B133" s="3" t="s">
        <v>89</v>
      </c>
      <c r="C133" s="3" t="s">
        <v>182</v>
      </c>
      <c r="D133" s="3" t="s">
        <v>102</v>
      </c>
      <c r="E133" s="3" t="s">
        <v>188</v>
      </c>
      <c r="F133" s="3" t="s">
        <v>92</v>
      </c>
      <c r="G133" s="4" t="s">
        <v>83</v>
      </c>
      <c r="H133" s="4">
        <v>-7.298285260295005</v>
      </c>
      <c r="I133" s="3" t="s">
        <v>121</v>
      </c>
      <c r="J133" s="4">
        <v>0.62721000000000005</v>
      </c>
      <c r="K133" s="3" t="s">
        <v>122</v>
      </c>
      <c r="L133" s="3" t="s">
        <v>127</v>
      </c>
      <c r="M133" s="4">
        <f t="shared" si="10"/>
        <v>-9.1799152602950045</v>
      </c>
      <c r="N133" s="4">
        <f t="shared" si="11"/>
        <v>-11.061545260295006</v>
      </c>
    </row>
    <row r="134" spans="1:14" ht="15" x14ac:dyDescent="0.3">
      <c r="A134" s="3" t="s">
        <v>73</v>
      </c>
      <c r="B134" s="3" t="s">
        <v>89</v>
      </c>
      <c r="C134" s="3" t="s">
        <v>182</v>
      </c>
      <c r="D134" s="3" t="s">
        <v>102</v>
      </c>
      <c r="E134" s="3" t="s">
        <v>220</v>
      </c>
      <c r="F134" s="3" t="s">
        <v>94</v>
      </c>
      <c r="G134" s="4" t="s">
        <v>83</v>
      </c>
      <c r="H134" s="4">
        <v>-7.3801243914999572</v>
      </c>
      <c r="I134" s="3" t="s">
        <v>121</v>
      </c>
      <c r="J134" s="4">
        <v>0.57316999999999996</v>
      </c>
      <c r="K134" s="3" t="s">
        <v>122</v>
      </c>
      <c r="L134" s="3" t="s">
        <v>127</v>
      </c>
      <c r="M134" s="4">
        <f t="shared" si="10"/>
        <v>-9.0996343914999578</v>
      </c>
      <c r="N134" s="4">
        <f t="shared" si="11"/>
        <v>-10.819144391499957</v>
      </c>
    </row>
    <row r="135" spans="1:14" ht="15" x14ac:dyDescent="0.3">
      <c r="A135" s="3" t="s">
        <v>73</v>
      </c>
      <c r="B135" s="3" t="s">
        <v>89</v>
      </c>
      <c r="C135" s="3" t="s">
        <v>233</v>
      </c>
      <c r="D135" s="3" t="s">
        <v>87</v>
      </c>
      <c r="E135" s="3" t="s">
        <v>197</v>
      </c>
      <c r="F135" s="3" t="s">
        <v>96</v>
      </c>
      <c r="G135" s="4" t="s">
        <v>83</v>
      </c>
      <c r="H135" s="4">
        <v>-7.739952475004678</v>
      </c>
      <c r="I135" s="3" t="s">
        <v>121</v>
      </c>
      <c r="J135" s="4">
        <v>0.50490000000000002</v>
      </c>
      <c r="K135" s="3" t="s">
        <v>122</v>
      </c>
      <c r="L135" s="3" t="s">
        <v>127</v>
      </c>
      <c r="M135" s="4">
        <f t="shared" si="10"/>
        <v>-9.2546524750046775</v>
      </c>
      <c r="N135" s="4">
        <f t="shared" si="11"/>
        <v>-10.769352475004677</v>
      </c>
    </row>
    <row r="136" spans="1:14" ht="15" x14ac:dyDescent="0.3">
      <c r="A136" s="3" t="s">
        <v>73</v>
      </c>
      <c r="B136" s="3" t="s">
        <v>89</v>
      </c>
      <c r="C136" s="3" t="s">
        <v>233</v>
      </c>
      <c r="D136" s="3" t="s">
        <v>87</v>
      </c>
      <c r="E136" s="3" t="s">
        <v>219</v>
      </c>
      <c r="F136" s="3" t="s">
        <v>88</v>
      </c>
      <c r="G136" s="4" t="s">
        <v>83</v>
      </c>
      <c r="H136" s="4">
        <v>-7.9036462400067053</v>
      </c>
      <c r="I136" s="3" t="s">
        <v>121</v>
      </c>
      <c r="J136" s="4">
        <v>0.48882999999999999</v>
      </c>
      <c r="K136" s="3" t="s">
        <v>122</v>
      </c>
      <c r="L136" s="3" t="s">
        <v>127</v>
      </c>
      <c r="M136" s="4">
        <f t="shared" si="10"/>
        <v>-9.3701362400067048</v>
      </c>
      <c r="N136" s="4">
        <f t="shared" si="11"/>
        <v>-10.836626240006705</v>
      </c>
    </row>
    <row r="137" spans="1:14" ht="15" x14ac:dyDescent="0.3">
      <c r="A137" s="3" t="s">
        <v>73</v>
      </c>
      <c r="B137" s="3" t="s">
        <v>89</v>
      </c>
      <c r="C137" s="3" t="s">
        <v>233</v>
      </c>
      <c r="D137" s="3" t="s">
        <v>87</v>
      </c>
      <c r="E137" s="3" t="s">
        <v>188</v>
      </c>
      <c r="F137" s="3" t="s">
        <v>92</v>
      </c>
      <c r="G137" s="4" t="s">
        <v>83</v>
      </c>
      <c r="H137" s="4">
        <v>-7.5775907433903011</v>
      </c>
      <c r="I137" s="3" t="s">
        <v>121</v>
      </c>
      <c r="J137" s="4">
        <v>0.48882999999999999</v>
      </c>
      <c r="K137" s="3" t="s">
        <v>122</v>
      </c>
      <c r="L137" s="3" t="s">
        <v>127</v>
      </c>
      <c r="M137" s="4">
        <f t="shared" si="10"/>
        <v>-9.0440807433903014</v>
      </c>
      <c r="N137" s="4">
        <f t="shared" si="11"/>
        <v>-10.5105707433903</v>
      </c>
    </row>
    <row r="138" spans="1:14" ht="15" x14ac:dyDescent="0.3">
      <c r="A138" s="3" t="s">
        <v>73</v>
      </c>
      <c r="B138" s="3" t="s">
        <v>89</v>
      </c>
      <c r="C138" s="3" t="s">
        <v>233</v>
      </c>
      <c r="D138" s="3" t="s">
        <v>87</v>
      </c>
      <c r="E138" s="3" t="s">
        <v>220</v>
      </c>
      <c r="F138" s="3" t="s">
        <v>94</v>
      </c>
      <c r="G138" s="4" t="s">
        <v>83</v>
      </c>
      <c r="H138" s="4">
        <v>-7.9471137647436194</v>
      </c>
      <c r="I138" s="3" t="s">
        <v>121</v>
      </c>
      <c r="J138" s="4">
        <v>0.53395999999999999</v>
      </c>
      <c r="K138" s="3" t="s">
        <v>122</v>
      </c>
      <c r="L138" s="3" t="s">
        <v>127</v>
      </c>
      <c r="M138" s="4">
        <f t="shared" ref="M138:M154" si="12">H138-J138*3</f>
        <v>-9.5489937647436189</v>
      </c>
      <c r="N138" s="4">
        <f t="shared" ref="N138:N154" si="13">H138-J138*6</f>
        <v>-11.150873764743618</v>
      </c>
    </row>
    <row r="139" spans="1:14" ht="15" x14ac:dyDescent="0.3">
      <c r="A139" s="3" t="s">
        <v>73</v>
      </c>
      <c r="B139" s="3" t="s">
        <v>109</v>
      </c>
      <c r="C139" s="3" t="s">
        <v>214</v>
      </c>
      <c r="D139" s="3" t="s">
        <v>99</v>
      </c>
      <c r="E139" s="3" t="s">
        <v>197</v>
      </c>
      <c r="F139" s="3" t="s">
        <v>96</v>
      </c>
      <c r="G139" s="4" t="s">
        <v>83</v>
      </c>
      <c r="H139" s="4">
        <v>-7.4789142440846774</v>
      </c>
      <c r="I139" s="3" t="s">
        <v>121</v>
      </c>
      <c r="J139" s="4">
        <v>0.58062000000000002</v>
      </c>
      <c r="K139" s="3" t="s">
        <v>122</v>
      </c>
      <c r="L139" s="3" t="s">
        <v>127</v>
      </c>
      <c r="M139" s="4">
        <f t="shared" si="12"/>
        <v>-9.2207742440846765</v>
      </c>
      <c r="N139" s="4">
        <f t="shared" si="13"/>
        <v>-10.962634244084677</v>
      </c>
    </row>
    <row r="140" spans="1:14" ht="15" x14ac:dyDescent="0.3">
      <c r="A140" s="3" t="s">
        <v>73</v>
      </c>
      <c r="B140" s="3" t="s">
        <v>109</v>
      </c>
      <c r="C140" s="3" t="s">
        <v>214</v>
      </c>
      <c r="D140" s="3" t="s">
        <v>99</v>
      </c>
      <c r="E140" s="3" t="s">
        <v>234</v>
      </c>
      <c r="F140" s="3" t="s">
        <v>93</v>
      </c>
      <c r="G140" s="4" t="s">
        <v>83</v>
      </c>
      <c r="H140" s="4">
        <v>-7.2819137052169083</v>
      </c>
      <c r="I140" s="3" t="s">
        <v>121</v>
      </c>
      <c r="J140" s="4">
        <v>0.59613000000000005</v>
      </c>
      <c r="K140" s="3" t="s">
        <v>122</v>
      </c>
      <c r="L140" s="3" t="s">
        <v>127</v>
      </c>
      <c r="M140" s="4">
        <f t="shared" si="12"/>
        <v>-9.070303705216908</v>
      </c>
      <c r="N140" s="4">
        <f t="shared" si="13"/>
        <v>-10.858693705216908</v>
      </c>
    </row>
    <row r="141" spans="1:14" ht="15" x14ac:dyDescent="0.3">
      <c r="A141" s="3" t="s">
        <v>73</v>
      </c>
      <c r="B141" s="3" t="s">
        <v>109</v>
      </c>
      <c r="C141" s="3" t="s">
        <v>214</v>
      </c>
      <c r="D141" s="3" t="s">
        <v>99</v>
      </c>
      <c r="E141" s="3" t="s">
        <v>190</v>
      </c>
      <c r="F141" s="3" t="s">
        <v>82</v>
      </c>
      <c r="G141" s="4" t="s">
        <v>83</v>
      </c>
      <c r="H141" s="4">
        <v>-7.8771945371525556</v>
      </c>
      <c r="I141" s="3" t="s">
        <v>121</v>
      </c>
      <c r="J141" s="4">
        <v>0.57230000000000003</v>
      </c>
      <c r="K141" s="3" t="s">
        <v>122</v>
      </c>
      <c r="L141" s="3" t="s">
        <v>127</v>
      </c>
      <c r="M141" s="4">
        <f t="shared" si="12"/>
        <v>-9.5940945371525554</v>
      </c>
      <c r="N141" s="4">
        <f t="shared" si="13"/>
        <v>-11.310994537152556</v>
      </c>
    </row>
    <row r="142" spans="1:14" ht="15" x14ac:dyDescent="0.3">
      <c r="A142" s="3" t="s">
        <v>73</v>
      </c>
      <c r="B142" s="3" t="s">
        <v>109</v>
      </c>
      <c r="C142" s="3" t="s">
        <v>214</v>
      </c>
      <c r="D142" s="3" t="s">
        <v>99</v>
      </c>
      <c r="E142" s="3" t="s">
        <v>235</v>
      </c>
      <c r="F142" s="3" t="s">
        <v>106</v>
      </c>
      <c r="G142" s="4" t="s">
        <v>83</v>
      </c>
      <c r="H142" s="4">
        <v>-7.5916073798666392</v>
      </c>
      <c r="I142" s="3" t="s">
        <v>121</v>
      </c>
      <c r="J142" s="4">
        <v>0.57020999999999999</v>
      </c>
      <c r="K142" s="3" t="s">
        <v>122</v>
      </c>
      <c r="L142" s="3" t="s">
        <v>127</v>
      </c>
      <c r="M142" s="4">
        <f t="shared" si="12"/>
        <v>-9.3022373798666393</v>
      </c>
      <c r="N142" s="4">
        <f t="shared" si="13"/>
        <v>-11.012867379866639</v>
      </c>
    </row>
    <row r="143" spans="1:14" ht="15" x14ac:dyDescent="0.3">
      <c r="A143" s="3" t="s">
        <v>73</v>
      </c>
      <c r="B143" s="3" t="s">
        <v>109</v>
      </c>
      <c r="C143" s="3" t="s">
        <v>214</v>
      </c>
      <c r="D143" s="3" t="s">
        <v>99</v>
      </c>
      <c r="E143" s="3" t="s">
        <v>232</v>
      </c>
      <c r="F143" s="3" t="s">
        <v>91</v>
      </c>
      <c r="G143" s="4" t="s">
        <v>83</v>
      </c>
      <c r="H143" s="4">
        <v>-7.6735002852749634</v>
      </c>
      <c r="I143" s="3" t="s">
        <v>121</v>
      </c>
      <c r="J143" s="4">
        <v>0.47448000000000001</v>
      </c>
      <c r="K143" s="3" t="s">
        <v>122</v>
      </c>
      <c r="L143" s="3" t="s">
        <v>127</v>
      </c>
      <c r="M143" s="4">
        <f t="shared" si="12"/>
        <v>-9.0969402852749628</v>
      </c>
      <c r="N143" s="4">
        <f t="shared" si="13"/>
        <v>-10.520380285274964</v>
      </c>
    </row>
    <row r="144" spans="1:14" ht="15" x14ac:dyDescent="0.3">
      <c r="A144" s="3" t="s">
        <v>73</v>
      </c>
      <c r="B144" s="3" t="s">
        <v>112</v>
      </c>
      <c r="C144" s="3" t="s">
        <v>181</v>
      </c>
      <c r="D144" s="3" t="s">
        <v>100</v>
      </c>
      <c r="E144" s="3" t="s">
        <v>212</v>
      </c>
      <c r="F144" s="3" t="s">
        <v>88</v>
      </c>
      <c r="G144" s="4" t="s">
        <v>83</v>
      </c>
      <c r="H144" s="4">
        <v>-7.696566333993796</v>
      </c>
      <c r="I144" s="3" t="s">
        <v>121</v>
      </c>
      <c r="J144" s="4">
        <v>0.52734000000000003</v>
      </c>
      <c r="K144" s="3" t="s">
        <v>122</v>
      </c>
      <c r="L144" s="3" t="s">
        <v>127</v>
      </c>
      <c r="M144" s="4">
        <f t="shared" si="12"/>
        <v>-9.2785863339937968</v>
      </c>
      <c r="N144" s="4">
        <f t="shared" si="13"/>
        <v>-10.860606333993797</v>
      </c>
    </row>
    <row r="145" spans="1:14" ht="15" x14ac:dyDescent="0.3">
      <c r="A145" s="3" t="s">
        <v>73</v>
      </c>
      <c r="B145" s="3" t="s">
        <v>112</v>
      </c>
      <c r="C145" s="3" t="s">
        <v>181</v>
      </c>
      <c r="D145" s="3" t="s">
        <v>100</v>
      </c>
      <c r="E145" s="3" t="s">
        <v>212</v>
      </c>
      <c r="F145" s="3" t="s">
        <v>88</v>
      </c>
      <c r="G145" s="4" t="s">
        <v>83</v>
      </c>
      <c r="H145" s="4">
        <v>-7.6233318141894708</v>
      </c>
      <c r="I145" s="3" t="s">
        <v>121</v>
      </c>
      <c r="J145" s="4">
        <v>0.52995999999999999</v>
      </c>
      <c r="K145" s="3" t="s">
        <v>122</v>
      </c>
      <c r="L145" s="3" t="s">
        <v>127</v>
      </c>
      <c r="M145" s="4">
        <f t="shared" si="12"/>
        <v>-9.2132118141894708</v>
      </c>
      <c r="N145" s="4">
        <f t="shared" si="13"/>
        <v>-10.803091814189472</v>
      </c>
    </row>
    <row r="146" spans="1:14" ht="15" x14ac:dyDescent="0.3">
      <c r="A146" s="3" t="s">
        <v>73</v>
      </c>
      <c r="B146" s="3" t="s">
        <v>112</v>
      </c>
      <c r="C146" s="3" t="s">
        <v>181</v>
      </c>
      <c r="D146" s="3" t="s">
        <v>100</v>
      </c>
      <c r="E146" s="3" t="s">
        <v>212</v>
      </c>
      <c r="F146" s="3" t="s">
        <v>88</v>
      </c>
      <c r="G146" s="4" t="s">
        <v>83</v>
      </c>
      <c r="H146" s="4">
        <v>-7.5883802940367699</v>
      </c>
      <c r="I146" s="3" t="s">
        <v>121</v>
      </c>
      <c r="J146" s="4">
        <v>0.52551999999999999</v>
      </c>
      <c r="K146" s="3" t="s">
        <v>122</v>
      </c>
      <c r="L146" s="3" t="s">
        <v>127</v>
      </c>
      <c r="M146" s="4">
        <f t="shared" si="12"/>
        <v>-9.1649402940367697</v>
      </c>
      <c r="N146" s="4">
        <f t="shared" si="13"/>
        <v>-10.74150029403677</v>
      </c>
    </row>
    <row r="147" spans="1:14" ht="15" x14ac:dyDescent="0.3">
      <c r="A147" s="3" t="s">
        <v>73</v>
      </c>
      <c r="B147" s="3" t="s">
        <v>112</v>
      </c>
      <c r="C147" s="3" t="s">
        <v>181</v>
      </c>
      <c r="D147" s="3" t="s">
        <v>100</v>
      </c>
      <c r="E147" s="3" t="s">
        <v>212</v>
      </c>
      <c r="F147" s="3" t="s">
        <v>88</v>
      </c>
      <c r="G147" s="4" t="s">
        <v>83</v>
      </c>
      <c r="H147" s="4">
        <v>-7.5126070639412879</v>
      </c>
      <c r="I147" s="3" t="s">
        <v>121</v>
      </c>
      <c r="J147" s="4">
        <v>0.53220999999999996</v>
      </c>
      <c r="K147" s="3" t="s">
        <v>122</v>
      </c>
      <c r="L147" s="3" t="s">
        <v>127</v>
      </c>
      <c r="M147" s="4">
        <f t="shared" si="12"/>
        <v>-9.1092370639412881</v>
      </c>
      <c r="N147" s="4">
        <f t="shared" si="13"/>
        <v>-10.705867063941287</v>
      </c>
    </row>
    <row r="148" spans="1:14" ht="15" x14ac:dyDescent="0.3">
      <c r="A148" s="3" t="s">
        <v>73</v>
      </c>
      <c r="B148" s="3" t="s">
        <v>112</v>
      </c>
      <c r="C148" s="3" t="s">
        <v>181</v>
      </c>
      <c r="D148" s="3" t="s">
        <v>100</v>
      </c>
      <c r="E148" s="3" t="s">
        <v>212</v>
      </c>
      <c r="F148" s="3" t="s">
        <v>88</v>
      </c>
      <c r="G148" s="4" t="s">
        <v>83</v>
      </c>
      <c r="H148" s="4">
        <v>-7.5343643794466706</v>
      </c>
      <c r="I148" s="3" t="s">
        <v>121</v>
      </c>
      <c r="J148" s="4">
        <v>0.51415</v>
      </c>
      <c r="K148" s="3" t="s">
        <v>122</v>
      </c>
      <c r="L148" s="3" t="s">
        <v>127</v>
      </c>
      <c r="M148" s="4">
        <f t="shared" si="12"/>
        <v>-9.0768143794466702</v>
      </c>
      <c r="N148" s="4">
        <f t="shared" si="13"/>
        <v>-10.619264379446671</v>
      </c>
    </row>
    <row r="149" spans="1:14" ht="15" x14ac:dyDescent="0.3">
      <c r="A149" s="3" t="s">
        <v>73</v>
      </c>
      <c r="B149" s="3" t="s">
        <v>112</v>
      </c>
      <c r="C149" s="3" t="s">
        <v>181</v>
      </c>
      <c r="D149" s="3" t="s">
        <v>100</v>
      </c>
      <c r="E149" s="3" t="s">
        <v>212</v>
      </c>
      <c r="F149" s="3" t="s">
        <v>88</v>
      </c>
      <c r="G149" s="4" t="s">
        <v>83</v>
      </c>
      <c r="H149" s="4">
        <v>-7.4861035130770759</v>
      </c>
      <c r="I149" s="3" t="s">
        <v>121</v>
      </c>
      <c r="J149" s="4">
        <v>0.51461000000000001</v>
      </c>
      <c r="K149" s="3" t="s">
        <v>122</v>
      </c>
      <c r="L149" s="3" t="s">
        <v>127</v>
      </c>
      <c r="M149" s="4">
        <f t="shared" si="12"/>
        <v>-9.0299335130770757</v>
      </c>
      <c r="N149" s="4">
        <f t="shared" si="13"/>
        <v>-10.573763513077076</v>
      </c>
    </row>
    <row r="150" spans="1:14" ht="15" x14ac:dyDescent="0.3">
      <c r="A150" s="3" t="s">
        <v>73</v>
      </c>
      <c r="B150" s="3" t="s">
        <v>112</v>
      </c>
      <c r="C150" s="3" t="s">
        <v>214</v>
      </c>
      <c r="D150" s="3" t="s">
        <v>99</v>
      </c>
      <c r="E150" s="3" t="s">
        <v>125</v>
      </c>
      <c r="F150" s="3" t="s">
        <v>82</v>
      </c>
      <c r="G150" s="4" t="s">
        <v>83</v>
      </c>
      <c r="H150" s="4">
        <v>-7.8771945371525556</v>
      </c>
      <c r="I150" s="3" t="s">
        <v>121</v>
      </c>
      <c r="J150" s="4">
        <v>0.57230000000000003</v>
      </c>
      <c r="K150" s="3" t="s">
        <v>122</v>
      </c>
      <c r="L150" s="3" t="s">
        <v>127</v>
      </c>
      <c r="M150" s="4">
        <f t="shared" si="12"/>
        <v>-9.5940945371525554</v>
      </c>
      <c r="N150" s="4">
        <f t="shared" si="13"/>
        <v>-11.310994537152556</v>
      </c>
    </row>
    <row r="151" spans="1:14" ht="15" x14ac:dyDescent="0.3">
      <c r="A151" s="3" t="s">
        <v>73</v>
      </c>
      <c r="B151" s="3" t="s">
        <v>112</v>
      </c>
      <c r="C151" s="3" t="s">
        <v>214</v>
      </c>
      <c r="D151" s="3" t="s">
        <v>99</v>
      </c>
      <c r="E151" s="3" t="s">
        <v>125</v>
      </c>
      <c r="F151" s="3" t="s">
        <v>82</v>
      </c>
      <c r="G151" s="4" t="s">
        <v>83</v>
      </c>
      <c r="H151" s="4">
        <v>-7.8423015207244839</v>
      </c>
      <c r="I151" s="3" t="s">
        <v>121</v>
      </c>
      <c r="J151" s="4">
        <v>0.55986999999999998</v>
      </c>
      <c r="K151" s="3" t="s">
        <v>122</v>
      </c>
      <c r="L151" s="3" t="s">
        <v>127</v>
      </c>
      <c r="M151" s="4">
        <f t="shared" si="12"/>
        <v>-9.5219115207244833</v>
      </c>
      <c r="N151" s="4">
        <f t="shared" si="13"/>
        <v>-11.201521520724484</v>
      </c>
    </row>
    <row r="152" spans="1:14" ht="15" x14ac:dyDescent="0.3">
      <c r="A152" s="3" t="s">
        <v>73</v>
      </c>
      <c r="B152" s="3" t="s">
        <v>112</v>
      </c>
      <c r="C152" s="3" t="s">
        <v>214</v>
      </c>
      <c r="D152" s="3" t="s">
        <v>99</v>
      </c>
      <c r="E152" s="3" t="s">
        <v>125</v>
      </c>
      <c r="F152" s="3" t="s">
        <v>82</v>
      </c>
      <c r="G152" s="4" t="s">
        <v>83</v>
      </c>
      <c r="H152" s="4">
        <v>-7.7177858669376649</v>
      </c>
      <c r="I152" s="3" t="s">
        <v>121</v>
      </c>
      <c r="J152" s="4">
        <v>0.56338999999999995</v>
      </c>
      <c r="K152" s="3" t="s">
        <v>122</v>
      </c>
      <c r="L152" s="3" t="s">
        <v>127</v>
      </c>
      <c r="M152" s="4">
        <f t="shared" si="12"/>
        <v>-9.4079558669376642</v>
      </c>
      <c r="N152" s="4">
        <f t="shared" si="13"/>
        <v>-11.098125866937664</v>
      </c>
    </row>
    <row r="153" spans="1:14" ht="15" x14ac:dyDescent="0.3">
      <c r="A153" s="3" t="s">
        <v>73</v>
      </c>
      <c r="B153" s="3" t="s">
        <v>112</v>
      </c>
      <c r="C153" s="3" t="s">
        <v>214</v>
      </c>
      <c r="D153" s="3" t="s">
        <v>99</v>
      </c>
      <c r="E153" s="3" t="s">
        <v>125</v>
      </c>
      <c r="F153" s="3" t="s">
        <v>82</v>
      </c>
      <c r="G153" s="4" t="s">
        <v>83</v>
      </c>
      <c r="H153" s="4">
        <v>-7.6250318137007662</v>
      </c>
      <c r="I153" s="3" t="s">
        <v>121</v>
      </c>
      <c r="J153" s="4">
        <v>0.55747000000000002</v>
      </c>
      <c r="K153" s="3" t="s">
        <v>122</v>
      </c>
      <c r="L153" s="3" t="s">
        <v>127</v>
      </c>
      <c r="M153" s="4">
        <f t="shared" si="12"/>
        <v>-9.2974418137007664</v>
      </c>
      <c r="N153" s="4">
        <f t="shared" si="13"/>
        <v>-10.969851813700767</v>
      </c>
    </row>
    <row r="154" spans="1:14" ht="15" x14ac:dyDescent="0.3">
      <c r="A154" s="3" t="s">
        <v>73</v>
      </c>
      <c r="B154" s="3" t="s">
        <v>112</v>
      </c>
      <c r="C154" s="3" t="s">
        <v>214</v>
      </c>
      <c r="D154" s="3" t="s">
        <v>99</v>
      </c>
      <c r="E154" s="3" t="s">
        <v>125</v>
      </c>
      <c r="F154" s="3" t="s">
        <v>82</v>
      </c>
      <c r="G154" s="4" t="s">
        <v>83</v>
      </c>
      <c r="H154" s="4">
        <v>-7.5563302965036021</v>
      </c>
      <c r="I154" s="3" t="s">
        <v>121</v>
      </c>
      <c r="J154" s="4">
        <v>0.55169000000000001</v>
      </c>
      <c r="K154" s="3" t="s">
        <v>122</v>
      </c>
      <c r="L154" s="3" t="s">
        <v>127</v>
      </c>
      <c r="M154" s="4">
        <f t="shared" si="12"/>
        <v>-9.2114002965036015</v>
      </c>
      <c r="N154" s="4">
        <f t="shared" si="13"/>
        <v>-10.866470296503602</v>
      </c>
    </row>
    <row r="157" spans="1:14" ht="15" x14ac:dyDescent="0.3">
      <c r="B157" s="10" t="s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workbookViewId="0">
      <pane ySplit="1" topLeftCell="A2" activePane="bottomLeft" state="frozen"/>
      <selection pane="bottomLeft" activeCell="F28" sqref="F28"/>
    </sheetView>
  </sheetViews>
  <sheetFormatPr defaultRowHeight="14.4" x14ac:dyDescent="0.3"/>
  <cols>
    <col min="1" max="1" width="47" customWidth="1"/>
    <col min="2" max="2" width="42" customWidth="1"/>
  </cols>
  <sheetData>
    <row r="1" spans="1:2" ht="28.05" customHeight="1" x14ac:dyDescent="0.3">
      <c r="A1" s="13" t="s">
        <v>0</v>
      </c>
      <c r="B1" s="12"/>
    </row>
    <row r="2" spans="1:2" ht="18" customHeight="1" x14ac:dyDescent="0.3">
      <c r="A2" s="11" t="s">
        <v>1</v>
      </c>
      <c r="B2" s="12"/>
    </row>
    <row r="4" spans="1:2" ht="16.8" x14ac:dyDescent="0.4">
      <c r="A4" s="1" t="s">
        <v>2</v>
      </c>
    </row>
    <row r="5" spans="1:2" ht="15" x14ac:dyDescent="0.3">
      <c r="A5" s="2" t="s">
        <v>3</v>
      </c>
      <c r="B5" s="2" t="s">
        <v>4</v>
      </c>
    </row>
    <row r="6" spans="1:2" ht="15" x14ac:dyDescent="0.3">
      <c r="A6" s="3" t="s">
        <v>5</v>
      </c>
      <c r="B6" s="3" t="s">
        <v>6</v>
      </c>
    </row>
    <row r="7" spans="1:2" ht="15" x14ac:dyDescent="0.3">
      <c r="A7" s="3" t="s">
        <v>7</v>
      </c>
      <c r="B7" s="3" t="s">
        <v>8</v>
      </c>
    </row>
    <row r="8" spans="1:2" ht="15" x14ac:dyDescent="0.3">
      <c r="A8" s="3" t="s">
        <v>9</v>
      </c>
      <c r="B8" s="3" t="s">
        <v>10</v>
      </c>
    </row>
    <row r="9" spans="1:2" ht="15" x14ac:dyDescent="0.3">
      <c r="A9" s="3" t="s">
        <v>11</v>
      </c>
      <c r="B9" s="3" t="s">
        <v>12</v>
      </c>
    </row>
    <row r="10" spans="1:2" ht="15" x14ac:dyDescent="0.3">
      <c r="A10" s="3" t="s">
        <v>13</v>
      </c>
      <c r="B10" s="3" t="s">
        <v>12</v>
      </c>
    </row>
    <row r="11" spans="1:2" ht="15" x14ac:dyDescent="0.3">
      <c r="A11" s="3" t="s">
        <v>14</v>
      </c>
      <c r="B11" s="3" t="s">
        <v>15</v>
      </c>
    </row>
    <row r="12" spans="1:2" ht="15" x14ac:dyDescent="0.3">
      <c r="A12" s="3" t="s">
        <v>16</v>
      </c>
      <c r="B12" s="3" t="s">
        <v>10</v>
      </c>
    </row>
    <row r="13" spans="1:2" ht="15" x14ac:dyDescent="0.3">
      <c r="A13" s="3" t="s">
        <v>17</v>
      </c>
      <c r="B13" s="3" t="s">
        <v>18</v>
      </c>
    </row>
    <row r="14" spans="1:2" ht="15" x14ac:dyDescent="0.3">
      <c r="A14" s="3" t="s">
        <v>19</v>
      </c>
      <c r="B14" s="3" t="s">
        <v>20</v>
      </c>
    </row>
    <row r="15" spans="1:2" ht="15" x14ac:dyDescent="0.3">
      <c r="A15" s="3" t="s">
        <v>21</v>
      </c>
      <c r="B15" s="4" t="s">
        <v>22</v>
      </c>
    </row>
    <row r="16" spans="1:2" ht="15" x14ac:dyDescent="0.3">
      <c r="A16" s="3" t="s">
        <v>23</v>
      </c>
      <c r="B16" s="4" t="s">
        <v>24</v>
      </c>
    </row>
    <row r="17" spans="1:2" ht="15" x14ac:dyDescent="0.3">
      <c r="A17" s="3" t="s">
        <v>25</v>
      </c>
      <c r="B17" s="4" t="s">
        <v>26</v>
      </c>
    </row>
    <row r="18" spans="1:2" ht="15" x14ac:dyDescent="0.3">
      <c r="A18" s="3" t="s">
        <v>27</v>
      </c>
      <c r="B18" s="3" t="s">
        <v>28</v>
      </c>
    </row>
    <row r="19" spans="1:2" ht="15" x14ac:dyDescent="0.3">
      <c r="A19" s="3" t="s">
        <v>29</v>
      </c>
      <c r="B19" s="3" t="s">
        <v>30</v>
      </c>
    </row>
    <row r="20" spans="1:2" ht="15" x14ac:dyDescent="0.3">
      <c r="A20" s="3" t="s">
        <v>31</v>
      </c>
      <c r="B20" s="3" t="s">
        <v>32</v>
      </c>
    </row>
    <row r="21" spans="1:2" ht="15" x14ac:dyDescent="0.3">
      <c r="A21" s="3" t="s">
        <v>33</v>
      </c>
      <c r="B21" s="3" t="s">
        <v>34</v>
      </c>
    </row>
    <row r="23" spans="1:2" ht="16.8" x14ac:dyDescent="0.4">
      <c r="A23" s="1" t="s">
        <v>35</v>
      </c>
    </row>
    <row r="24" spans="1:2" ht="15" x14ac:dyDescent="0.3">
      <c r="A24" s="2" t="s">
        <v>36</v>
      </c>
      <c r="B24" s="2" t="s">
        <v>37</v>
      </c>
    </row>
    <row r="25" spans="1:2" ht="15" x14ac:dyDescent="0.3">
      <c r="A25" s="3" t="s">
        <v>38</v>
      </c>
      <c r="B25" s="4">
        <v>153</v>
      </c>
    </row>
    <row r="26" spans="1:2" ht="15" x14ac:dyDescent="0.3">
      <c r="A26" s="3" t="s">
        <v>39</v>
      </c>
      <c r="B26" s="4">
        <v>153</v>
      </c>
    </row>
    <row r="27" spans="1:2" ht="15" x14ac:dyDescent="0.3">
      <c r="A27" s="3" t="s">
        <v>41</v>
      </c>
      <c r="B27" s="4">
        <v>78</v>
      </c>
    </row>
    <row r="28" spans="1:2" ht="15" x14ac:dyDescent="0.3">
      <c r="A28" s="3" t="s">
        <v>42</v>
      </c>
      <c r="B28" s="4">
        <v>75</v>
      </c>
    </row>
    <row r="29" spans="1:2" ht="15" x14ac:dyDescent="0.3">
      <c r="A29" s="3" t="s">
        <v>43</v>
      </c>
      <c r="B29" s="4">
        <v>61</v>
      </c>
    </row>
    <row r="30" spans="1:2" ht="15" x14ac:dyDescent="0.3">
      <c r="A30" s="3" t="s">
        <v>44</v>
      </c>
      <c r="B30" s="4">
        <v>44</v>
      </c>
    </row>
    <row r="32" spans="1:2" ht="16.8" x14ac:dyDescent="0.4">
      <c r="A32" s="1" t="s">
        <v>45</v>
      </c>
    </row>
    <row r="33" spans="1:2" ht="15" x14ac:dyDescent="0.3">
      <c r="A33" s="2" t="s">
        <v>46</v>
      </c>
      <c r="B33" s="2" t="s">
        <v>47</v>
      </c>
    </row>
    <row r="34" spans="1:2" ht="15" x14ac:dyDescent="0.3">
      <c r="A34" s="3" t="s">
        <v>48</v>
      </c>
      <c r="B34" s="4">
        <v>34</v>
      </c>
    </row>
    <row r="35" spans="1:2" ht="15" x14ac:dyDescent="0.3">
      <c r="A35" s="3" t="s">
        <v>49</v>
      </c>
      <c r="B35" s="4">
        <v>27</v>
      </c>
    </row>
    <row r="36" spans="1:2" ht="15" x14ac:dyDescent="0.3">
      <c r="A36" s="3" t="s">
        <v>50</v>
      </c>
      <c r="B36" s="4">
        <v>26</v>
      </c>
    </row>
    <row r="37" spans="1:2" ht="15" x14ac:dyDescent="0.3">
      <c r="A37" s="3" t="s">
        <v>51</v>
      </c>
      <c r="B37" s="4">
        <v>15</v>
      </c>
    </row>
    <row r="38" spans="1:2" ht="15" x14ac:dyDescent="0.3">
      <c r="A38" s="3" t="s">
        <v>52</v>
      </c>
      <c r="B38" s="4">
        <v>2</v>
      </c>
    </row>
    <row r="39" spans="1:2" ht="15" x14ac:dyDescent="0.3">
      <c r="A39" s="3" t="s">
        <v>53</v>
      </c>
      <c r="B39" s="4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pane ySplit="1" topLeftCell="A2" activePane="bottomLeft" state="frozen"/>
      <selection pane="bottomLeft" activeCell="A25" sqref="A25"/>
    </sheetView>
  </sheetViews>
  <sheetFormatPr defaultRowHeight="14.4" x14ac:dyDescent="0.3"/>
  <cols>
    <col min="1" max="1" width="149" customWidth="1"/>
    <col min="2" max="2" width="15" customWidth="1"/>
    <col min="3" max="3" width="18" customWidth="1"/>
    <col min="4" max="4" width="20" customWidth="1"/>
    <col min="5" max="5" width="27" customWidth="1"/>
    <col min="6" max="6" width="21" customWidth="1"/>
  </cols>
  <sheetData>
    <row r="1" spans="1:6" ht="15" x14ac:dyDescent="0.3">
      <c r="A1" s="2" t="s">
        <v>54</v>
      </c>
      <c r="B1" s="2" t="s">
        <v>55</v>
      </c>
      <c r="C1" s="2" t="s">
        <v>56</v>
      </c>
      <c r="D1" s="2" t="s">
        <v>39</v>
      </c>
      <c r="E1" s="2" t="s">
        <v>40</v>
      </c>
      <c r="F1" s="2" t="s">
        <v>57</v>
      </c>
    </row>
    <row r="2" spans="1:6" ht="15" x14ac:dyDescent="0.3">
      <c r="A2" s="3" t="s">
        <v>58</v>
      </c>
      <c r="B2" s="4">
        <v>2</v>
      </c>
      <c r="C2" s="4">
        <v>1</v>
      </c>
      <c r="D2" s="4">
        <v>4</v>
      </c>
      <c r="E2" s="4">
        <v>0</v>
      </c>
      <c r="F2" s="4">
        <v>4</v>
      </c>
    </row>
    <row r="3" spans="1:6" ht="15" x14ac:dyDescent="0.3">
      <c r="A3" s="3" t="s">
        <v>59</v>
      </c>
      <c r="B3" s="4">
        <v>2</v>
      </c>
      <c r="C3" s="4">
        <v>1</v>
      </c>
      <c r="D3" s="4">
        <v>1</v>
      </c>
      <c r="E3" s="4">
        <v>0</v>
      </c>
      <c r="F3" s="4">
        <v>1</v>
      </c>
    </row>
    <row r="4" spans="1:6" ht="15" x14ac:dyDescent="0.3">
      <c r="A4" s="3" t="s">
        <v>60</v>
      </c>
      <c r="B4" s="4">
        <v>6</v>
      </c>
      <c r="C4" s="4">
        <v>1</v>
      </c>
      <c r="D4" s="4">
        <v>1</v>
      </c>
      <c r="E4" s="4">
        <v>0</v>
      </c>
      <c r="F4" s="4">
        <v>1</v>
      </c>
    </row>
    <row r="5" spans="1:6" ht="15" x14ac:dyDescent="0.3">
      <c r="A5" s="3" t="s">
        <v>61</v>
      </c>
      <c r="B5" s="4">
        <v>2</v>
      </c>
      <c r="C5" s="4">
        <v>2</v>
      </c>
      <c r="D5" s="4">
        <v>23</v>
      </c>
      <c r="E5" s="4">
        <v>0</v>
      </c>
      <c r="F5" s="4">
        <v>23</v>
      </c>
    </row>
    <row r="6" spans="1:6" ht="15" x14ac:dyDescent="0.3">
      <c r="A6" s="3" t="s">
        <v>62</v>
      </c>
      <c r="B6" s="4">
        <v>2</v>
      </c>
      <c r="C6" s="4">
        <v>2</v>
      </c>
      <c r="D6" s="4">
        <v>0</v>
      </c>
      <c r="E6" s="4">
        <v>0</v>
      </c>
      <c r="F6" s="4">
        <v>0</v>
      </c>
    </row>
    <row r="7" spans="1:6" ht="15" x14ac:dyDescent="0.3">
      <c r="A7" s="3" t="s">
        <v>63</v>
      </c>
      <c r="B7" s="4">
        <v>4</v>
      </c>
      <c r="C7" s="4">
        <v>1</v>
      </c>
      <c r="D7" s="4">
        <v>3</v>
      </c>
      <c r="E7" s="4">
        <v>0</v>
      </c>
      <c r="F7" s="4">
        <v>3</v>
      </c>
    </row>
    <row r="8" spans="1:6" ht="15" x14ac:dyDescent="0.3">
      <c r="A8" s="3" t="s">
        <v>64</v>
      </c>
      <c r="B8" s="4">
        <v>4</v>
      </c>
      <c r="C8" s="4">
        <v>1</v>
      </c>
      <c r="D8" s="4">
        <v>6</v>
      </c>
      <c r="E8" s="4">
        <v>0</v>
      </c>
      <c r="F8" s="4">
        <v>6</v>
      </c>
    </row>
    <row r="9" spans="1:6" ht="15" x14ac:dyDescent="0.3">
      <c r="A9" s="3" t="s">
        <v>65</v>
      </c>
      <c r="B9" s="4">
        <v>2</v>
      </c>
      <c r="C9" s="4">
        <v>1</v>
      </c>
      <c r="D9" s="4">
        <v>4</v>
      </c>
      <c r="E9" s="4">
        <v>0</v>
      </c>
      <c r="F9" s="4">
        <v>4</v>
      </c>
    </row>
    <row r="10" spans="1:6" ht="15" x14ac:dyDescent="0.3">
      <c r="A10" s="3" t="s">
        <v>66</v>
      </c>
      <c r="B10" s="4">
        <v>6</v>
      </c>
      <c r="C10" s="4">
        <v>1</v>
      </c>
      <c r="D10" s="4">
        <v>6</v>
      </c>
      <c r="E10" s="4">
        <v>0</v>
      </c>
      <c r="F10" s="4">
        <v>6</v>
      </c>
    </row>
    <row r="11" spans="1:6" ht="15" x14ac:dyDescent="0.3">
      <c r="A11" s="3" t="s">
        <v>67</v>
      </c>
      <c r="B11" s="4">
        <v>3</v>
      </c>
      <c r="C11" s="4">
        <v>3</v>
      </c>
      <c r="D11" s="4">
        <v>1</v>
      </c>
      <c r="E11" s="4">
        <v>0</v>
      </c>
      <c r="F11" s="4">
        <v>1</v>
      </c>
    </row>
    <row r="12" spans="1:6" ht="15" x14ac:dyDescent="0.3">
      <c r="A12" s="3" t="s">
        <v>68</v>
      </c>
      <c r="B12" s="4">
        <v>3</v>
      </c>
      <c r="C12" s="4">
        <v>3</v>
      </c>
      <c r="D12" s="4">
        <v>17</v>
      </c>
      <c r="E12" s="4">
        <v>0</v>
      </c>
      <c r="F12" s="4">
        <v>17</v>
      </c>
    </row>
    <row r="13" spans="1:6" ht="15" x14ac:dyDescent="0.3">
      <c r="A13" s="3" t="s">
        <v>69</v>
      </c>
      <c r="B13" s="4">
        <v>8</v>
      </c>
      <c r="C13" s="4">
        <v>4</v>
      </c>
      <c r="D13" s="4">
        <v>2</v>
      </c>
      <c r="E13" s="4">
        <v>0</v>
      </c>
      <c r="F13" s="4">
        <v>2</v>
      </c>
    </row>
    <row r="14" spans="1:6" ht="15" x14ac:dyDescent="0.3">
      <c r="A14" s="3" t="s">
        <v>70</v>
      </c>
      <c r="B14" s="4">
        <v>3</v>
      </c>
      <c r="C14" s="4">
        <v>1</v>
      </c>
      <c r="D14" s="4">
        <v>2</v>
      </c>
      <c r="E14" s="4">
        <v>0</v>
      </c>
      <c r="F14" s="4">
        <v>2</v>
      </c>
    </row>
    <row r="15" spans="1:6" ht="15" x14ac:dyDescent="0.3">
      <c r="A15" s="3" t="s">
        <v>71</v>
      </c>
      <c r="B15" s="4">
        <v>8</v>
      </c>
      <c r="C15" s="4">
        <v>4</v>
      </c>
      <c r="D15" s="4">
        <v>12</v>
      </c>
      <c r="E15" s="4">
        <v>0</v>
      </c>
      <c r="F15" s="4">
        <v>12</v>
      </c>
    </row>
    <row r="16" spans="1:6" ht="15" x14ac:dyDescent="0.3">
      <c r="A16" s="3" t="s">
        <v>72</v>
      </c>
      <c r="B16" s="4">
        <v>1</v>
      </c>
      <c r="C16" s="4">
        <v>1</v>
      </c>
      <c r="D16" s="4">
        <v>16</v>
      </c>
      <c r="E16" s="4">
        <v>0</v>
      </c>
      <c r="F16" s="4">
        <v>16</v>
      </c>
    </row>
    <row r="17" spans="1:6" ht="15" x14ac:dyDescent="0.3">
      <c r="A17" s="3" t="s">
        <v>73</v>
      </c>
      <c r="B17" s="4">
        <v>11</v>
      </c>
      <c r="C17" s="4">
        <v>4</v>
      </c>
      <c r="D17" s="4">
        <v>55</v>
      </c>
      <c r="E17" s="4">
        <v>0</v>
      </c>
      <c r="F17" s="4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Full Output</vt:lpstr>
      <vt:lpstr>Process Summary</vt:lpstr>
      <vt:lpstr>Paper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Varley</cp:lastModifiedBy>
  <dcterms:created xsi:type="dcterms:W3CDTF">2026-08-06T10:20:15Z</dcterms:created>
  <dcterms:modified xsi:type="dcterms:W3CDTF">2026-08-12T12:32:47Z</dcterms:modified>
</cp:coreProperties>
</file>